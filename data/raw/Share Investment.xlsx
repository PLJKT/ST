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hidePivotFieldList="1" defaultThemeVersion="166925"/>
  <mc:AlternateContent xmlns:mc="http://schemas.openxmlformats.org/markup-compatibility/2006">
    <mc:Choice Requires="x15">
      <x15ac:absPath xmlns:x15ac="http://schemas.microsoft.com/office/spreadsheetml/2010/11/ac" url="C:\Users\PS\Box\Personal Docs\"/>
    </mc:Choice>
  </mc:AlternateContent>
  <xr:revisionPtr revIDLastSave="0" documentId="13_ncr:1_{142C7D47-2DF6-445E-AFBD-5C424D184FA3}" xr6:coauthVersionLast="47" xr6:coauthVersionMax="47" xr10:uidLastSave="{00000000-0000-0000-0000-000000000000}"/>
  <bookViews>
    <workbookView xWindow="-120" yWindow="-120" windowWidth="29040" windowHeight="15720" tabRatio="962" activeTab="1" xr2:uid="{F3323140-D43B-4B54-9143-DC9FF7D8AD64}"/>
  </bookViews>
  <sheets>
    <sheet name="Overall Summary" sheetId="28" r:id="rId1"/>
    <sheet name="SG Portfolio" sheetId="2" r:id="rId2"/>
    <sheet name="FUTU Portfolio" sheetId="27" r:id="rId3"/>
    <sheet name="Day Trade" sheetId="8" r:id="rId4"/>
    <sheet name="Fee and Margin" sheetId="11" r:id="rId5"/>
    <sheet name="IndoStock" sheetId="4" r:id="rId6"/>
    <sheet name="US Index Contents" sheetId="18" r:id="rId7"/>
    <sheet name="Lost Return Ratio" sheetId="5" r:id="rId8"/>
    <sheet name="SG Watchlist" sheetId="3" r:id="rId9"/>
    <sheet name="ID Watchlist" sheetId="7" r:id="rId10"/>
    <sheet name="StockSelection" sheetId="24" r:id="rId11"/>
    <sheet name="AAPL Analysis" sheetId="17" r:id="rId12"/>
    <sheet name="JD Bet" sheetId="25" r:id="rId13"/>
    <sheet name="JD Analysis" sheetId="20" r:id="rId14"/>
    <sheet name="FB Bet" sheetId="13" r:id="rId15"/>
    <sheet name="FB Analysis" sheetId="16" r:id="rId16"/>
    <sheet name="BABA Bet" sheetId="22" r:id="rId17"/>
    <sheet name="BABA Analysis" sheetId="19" r:id="rId18"/>
    <sheet name="WMT Analysis" sheetId="21"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87" i="2" l="1"/>
  <c r="K187" i="2" a="1"/>
  <c r="K187" i="2" s="1"/>
  <c r="I187" i="2"/>
  <c r="L187" i="2" s="1"/>
  <c r="L220" i="2" a="1"/>
  <c r="L220" i="2" s="1"/>
  <c r="L216" i="2" a="1"/>
  <c r="L216" i="2" s="1"/>
  <c r="O217" i="2" s="1"/>
  <c r="V220" i="2"/>
  <c r="I220" i="2"/>
  <c r="J220" i="2" s="1"/>
  <c r="I216" i="2"/>
  <c r="G216" i="2"/>
  <c r="H201" i="27"/>
  <c r="I201" i="27"/>
  <c r="J201" i="27" s="1"/>
  <c r="K201" i="27" a="1"/>
  <c r="K201" i="27" s="1"/>
  <c r="Q201" i="27"/>
  <c r="H200" i="27"/>
  <c r="I200" i="27" s="1"/>
  <c r="K200" i="27" a="1"/>
  <c r="K200" i="27" s="1"/>
  <c r="Q200" i="27"/>
  <c r="Z16" i="28"/>
  <c r="Z13" i="28"/>
  <c r="H199" i="27"/>
  <c r="I199" i="27" s="1"/>
  <c r="K199" i="27" a="1"/>
  <c r="K199" i="27" s="1"/>
  <c r="Q199" i="27"/>
  <c r="H198" i="27"/>
  <c r="I198" i="27" s="1"/>
  <c r="K198" i="27" a="1"/>
  <c r="K198" i="27" s="1"/>
  <c r="Q198" i="27"/>
  <c r="H197" i="27"/>
  <c r="I197" i="27" s="1"/>
  <c r="K197" i="27" a="1"/>
  <c r="K197" i="27" s="1"/>
  <c r="Q197" i="27"/>
  <c r="H196" i="27"/>
  <c r="I196" i="27" s="1"/>
  <c r="K196" i="27" a="1"/>
  <c r="K196" i="27" s="1"/>
  <c r="Q196" i="27"/>
  <c r="H195" i="27"/>
  <c r="I195" i="27" s="1"/>
  <c r="K195" i="27" a="1"/>
  <c r="K195" i="27" s="1"/>
  <c r="Q195" i="27"/>
  <c r="H194" i="27"/>
  <c r="I194" i="27" s="1"/>
  <c r="J194" i="27" s="1"/>
  <c r="K194" i="27" a="1"/>
  <c r="K194" i="27" s="1"/>
  <c r="Q194" i="27"/>
  <c r="H193" i="27"/>
  <c r="I193" i="27" s="1"/>
  <c r="K193" i="27" a="1"/>
  <c r="K193" i="27" s="1"/>
  <c r="Q193" i="27"/>
  <c r="H192" i="27"/>
  <c r="I192" i="27"/>
  <c r="J192" i="27" s="1"/>
  <c r="K192" i="27" a="1"/>
  <c r="K192" i="27" s="1"/>
  <c r="Q192" i="27"/>
  <c r="H191" i="27"/>
  <c r="I191" i="27" s="1"/>
  <c r="K191" i="27" a="1"/>
  <c r="K191" i="27" s="1"/>
  <c r="Q191" i="27"/>
  <c r="H190" i="27"/>
  <c r="I190" i="27" s="1"/>
  <c r="J190" i="27" s="1"/>
  <c r="K190" i="27" a="1"/>
  <c r="K190" i="27" s="1"/>
  <c r="Q190" i="27"/>
  <c r="H189" i="27"/>
  <c r="I189" i="27" s="1"/>
  <c r="K189" i="27" a="1"/>
  <c r="K189" i="27" s="1"/>
  <c r="Q189" i="27"/>
  <c r="H188" i="27"/>
  <c r="I188" i="27" s="1"/>
  <c r="K188" i="27" a="1"/>
  <c r="K188" i="27" s="1"/>
  <c r="Q188" i="27"/>
  <c r="H187" i="27"/>
  <c r="I187" i="27" s="1"/>
  <c r="K187" i="27" a="1"/>
  <c r="K187" i="27" s="1"/>
  <c r="Q187" i="27"/>
  <c r="H186" i="27"/>
  <c r="I186" i="27" s="1"/>
  <c r="H185" i="27"/>
  <c r="I185" i="27" s="1"/>
  <c r="H184" i="27"/>
  <c r="I184" i="27" s="1"/>
  <c r="K186" i="27" a="1"/>
  <c r="K186" i="27" s="1"/>
  <c r="Q186" i="27"/>
  <c r="K185" i="27" a="1"/>
  <c r="K185" i="27" s="1"/>
  <c r="Q185" i="27"/>
  <c r="K184" i="27" a="1"/>
  <c r="K184" i="27" s="1"/>
  <c r="Q184" i="27"/>
  <c r="E187" i="8"/>
  <c r="Q129" i="8"/>
  <c r="J119" i="8"/>
  <c r="K119" i="8" s="1"/>
  <c r="J118" i="8"/>
  <c r="H118" i="8"/>
  <c r="K118" i="8"/>
  <c r="J117" i="8"/>
  <c r="K117" i="8"/>
  <c r="N117" i="8" s="1"/>
  <c r="H116" i="8"/>
  <c r="J116" i="8"/>
  <c r="I218" i="2"/>
  <c r="J218" i="2" s="1"/>
  <c r="I186" i="2"/>
  <c r="K186" i="2" a="1"/>
  <c r="K186" i="2" s="1"/>
  <c r="Q186" i="2"/>
  <c r="V218" i="2"/>
  <c r="L218" i="2" a="1"/>
  <c r="L218" i="2" s="1"/>
  <c r="J115" i="8"/>
  <c r="H115" i="8"/>
  <c r="J114" i="8"/>
  <c r="K114" i="8" s="1"/>
  <c r="J113" i="8"/>
  <c r="K113" i="8" s="1"/>
  <c r="J112" i="8"/>
  <c r="K112" i="8" s="1"/>
  <c r="H185" i="2"/>
  <c r="I185" i="2" s="1"/>
  <c r="J185" i="2" s="1"/>
  <c r="K185" i="2" a="1"/>
  <c r="K185" i="2" s="1"/>
  <c r="Q185" i="2"/>
  <c r="J111" i="8"/>
  <c r="K111" i="8"/>
  <c r="L111" i="8" s="1"/>
  <c r="H182" i="27"/>
  <c r="I182" i="27" s="1"/>
  <c r="K182" i="27" a="1"/>
  <c r="K182" i="27" s="1"/>
  <c r="Q182" i="27"/>
  <c r="H183" i="27"/>
  <c r="I183" i="27" s="1"/>
  <c r="L183" i="27" s="1"/>
  <c r="K183" i="27" a="1"/>
  <c r="K183" i="27" s="1"/>
  <c r="Q183" i="27"/>
  <c r="H181" i="27"/>
  <c r="I181" i="27" s="1"/>
  <c r="J181" i="27" s="1"/>
  <c r="K181" i="27" a="1"/>
  <c r="K181" i="27" s="1"/>
  <c r="Q181" i="27"/>
  <c r="H180" i="27"/>
  <c r="I180" i="27" s="1"/>
  <c r="J180" i="27" s="1"/>
  <c r="H179" i="27"/>
  <c r="I179" i="27" s="1"/>
  <c r="J179" i="27" s="1"/>
  <c r="K179" i="27" a="1"/>
  <c r="K179" i="27" s="1"/>
  <c r="Q179" i="27"/>
  <c r="K180" i="27" a="1"/>
  <c r="K180" i="27" s="1"/>
  <c r="Q180" i="27"/>
  <c r="N178" i="27"/>
  <c r="H178" i="27"/>
  <c r="I178" i="27" s="1"/>
  <c r="K178" i="27" a="1"/>
  <c r="K178" i="27" s="1"/>
  <c r="Q178" i="27"/>
  <c r="H177" i="27"/>
  <c r="I177" i="27" s="1"/>
  <c r="H176" i="27"/>
  <c r="I176" i="27" s="1"/>
  <c r="J176" i="27" s="1"/>
  <c r="H175" i="27"/>
  <c r="I175" i="27" s="1"/>
  <c r="H174" i="27"/>
  <c r="I174" i="27" s="1"/>
  <c r="J110" i="8"/>
  <c r="K110" i="8" s="1"/>
  <c r="N110" i="8" s="1"/>
  <c r="D4" i="2"/>
  <c r="E4" i="28" s="1"/>
  <c r="K155" i="27" a="1"/>
  <c r="K155" i="27" s="1"/>
  <c r="H173" i="27"/>
  <c r="I173" i="27" s="1"/>
  <c r="K173" i="27" a="1"/>
  <c r="K173" i="27" s="1"/>
  <c r="Q173" i="27"/>
  <c r="H172" i="27"/>
  <c r="I172" i="27" s="1"/>
  <c r="J172" i="27" s="1"/>
  <c r="K172" i="27" a="1"/>
  <c r="K172" i="27" s="1"/>
  <c r="Q172" i="27"/>
  <c r="H171" i="27"/>
  <c r="I171" i="27" s="1"/>
  <c r="K171" i="27" a="1"/>
  <c r="K171" i="27" s="1"/>
  <c r="Q171" i="27"/>
  <c r="H170" i="27"/>
  <c r="I170" i="27" s="1"/>
  <c r="J170" i="27" s="1"/>
  <c r="K170" i="27" a="1"/>
  <c r="K170" i="27" s="1"/>
  <c r="Q170" i="27"/>
  <c r="H169" i="27"/>
  <c r="I169" i="27" s="1"/>
  <c r="K169" i="27" a="1"/>
  <c r="K169" i="27" s="1"/>
  <c r="Q169" i="27"/>
  <c r="H168" i="27"/>
  <c r="I168" i="27" s="1"/>
  <c r="K168" i="27" a="1"/>
  <c r="K168" i="27" s="1"/>
  <c r="Q168" i="27"/>
  <c r="H167" i="27"/>
  <c r="I167" i="27" s="1"/>
  <c r="K167" i="27" a="1"/>
  <c r="K167" i="27" s="1"/>
  <c r="Q167" i="27"/>
  <c r="H166" i="27"/>
  <c r="I166" i="27" s="1"/>
  <c r="J166" i="27" s="1"/>
  <c r="K166" i="27" a="1"/>
  <c r="K166" i="27" s="1"/>
  <c r="Q166" i="27"/>
  <c r="H165" i="27"/>
  <c r="I165" i="27" s="1"/>
  <c r="J165" i="27" s="1"/>
  <c r="K165" i="27" a="1"/>
  <c r="K165" i="27" s="1"/>
  <c r="Q165" i="27"/>
  <c r="H164" i="27"/>
  <c r="I164" i="27" s="1"/>
  <c r="K164" i="27" a="1"/>
  <c r="K164" i="27" s="1"/>
  <c r="Q164" i="27"/>
  <c r="H163" i="27"/>
  <c r="I163" i="27" s="1"/>
  <c r="K163" i="27" a="1"/>
  <c r="K163" i="27" s="1"/>
  <c r="Q163" i="27"/>
  <c r="H162" i="27"/>
  <c r="I162" i="27" s="1"/>
  <c r="K162" i="27" a="1"/>
  <c r="K162" i="27" s="1"/>
  <c r="Q162" i="27"/>
  <c r="H161" i="27"/>
  <c r="I161" i="27" s="1"/>
  <c r="K161" i="27" a="1"/>
  <c r="K161" i="27" s="1"/>
  <c r="Q161" i="27"/>
  <c r="H160" i="27"/>
  <c r="I160" i="27" s="1"/>
  <c r="J160" i="27" s="1"/>
  <c r="K160" i="27" a="1"/>
  <c r="K160" i="27" s="1"/>
  <c r="Q160" i="27"/>
  <c r="H159" i="27"/>
  <c r="I159" i="27" s="1"/>
  <c r="K159" i="27" a="1"/>
  <c r="K159" i="27" s="1"/>
  <c r="Q159" i="27"/>
  <c r="H158" i="27"/>
  <c r="I158" i="27" s="1"/>
  <c r="K158" i="27" a="1"/>
  <c r="K158" i="27" s="1"/>
  <c r="Q158" i="27"/>
  <c r="H157" i="27"/>
  <c r="I157" i="27" s="1"/>
  <c r="K157" i="27" a="1"/>
  <c r="K157" i="27" s="1"/>
  <c r="Q157" i="27"/>
  <c r="H156" i="27"/>
  <c r="I156" i="27" s="1"/>
  <c r="Q156" i="27"/>
  <c r="K156" i="27" a="1"/>
  <c r="K156" i="27" s="1"/>
  <c r="Q177" i="27"/>
  <c r="K177" i="27" a="1"/>
  <c r="K177" i="27" s="1"/>
  <c r="K176" i="27" a="1"/>
  <c r="K176" i="27" s="1"/>
  <c r="Q176" i="27"/>
  <c r="K175" i="27" a="1"/>
  <c r="K175" i="27" s="1"/>
  <c r="Q175" i="27"/>
  <c r="Q174" i="27"/>
  <c r="K174" i="27" a="1"/>
  <c r="K174" i="27" s="1"/>
  <c r="N184" i="2"/>
  <c r="I184" i="2"/>
  <c r="Q184" i="2"/>
  <c r="K184" i="2" a="1"/>
  <c r="K184" i="2" s="1"/>
  <c r="M5" i="2"/>
  <c r="P5" i="2" s="1"/>
  <c r="Q5" i="2" s="1"/>
  <c r="J7" i="27"/>
  <c r="J5" i="2"/>
  <c r="Q5" i="28"/>
  <c r="S5" i="28"/>
  <c r="T5" i="28" s="1"/>
  <c r="E19" i="28"/>
  <c r="F19" i="28"/>
  <c r="G19" i="28"/>
  <c r="H19" i="28"/>
  <c r="I19" i="28"/>
  <c r="J19" i="28"/>
  <c r="K19" i="28"/>
  <c r="L19" i="28"/>
  <c r="M19" i="28"/>
  <c r="O19" i="28"/>
  <c r="S19" i="28"/>
  <c r="W19" i="28"/>
  <c r="D19" i="28"/>
  <c r="E17" i="28"/>
  <c r="F17" i="28"/>
  <c r="G17" i="28"/>
  <c r="H17" i="28"/>
  <c r="I17" i="28"/>
  <c r="J17" i="28"/>
  <c r="K17" i="28"/>
  <c r="L17" i="28"/>
  <c r="M17" i="28"/>
  <c r="N17" i="28"/>
  <c r="O17" i="28"/>
  <c r="P17" i="28"/>
  <c r="Q17" i="28"/>
  <c r="R17" i="28"/>
  <c r="S17" i="28"/>
  <c r="D17" i="28"/>
  <c r="U15" i="28"/>
  <c r="U17" i="28" s="1"/>
  <c r="V15" i="28"/>
  <c r="V17" i="28" s="1"/>
  <c r="N155" i="27"/>
  <c r="Q155" i="27"/>
  <c r="H155" i="27"/>
  <c r="F155" i="27"/>
  <c r="H154" i="27"/>
  <c r="I154" i="27" s="1"/>
  <c r="Q154" i="27"/>
  <c r="K154" i="27" a="1"/>
  <c r="K154" i="27" s="1"/>
  <c r="H153" i="27"/>
  <c r="I153" i="27" s="1"/>
  <c r="K153" i="27" a="1"/>
  <c r="K153" i="27" s="1"/>
  <c r="Q153" i="27"/>
  <c r="H152" i="27"/>
  <c r="I152" i="27" s="1"/>
  <c r="K152" i="27" a="1"/>
  <c r="K152" i="27" s="1"/>
  <c r="Q152" i="27"/>
  <c r="H151" i="27"/>
  <c r="I151" i="27" s="1"/>
  <c r="Q151" i="27"/>
  <c r="K151" i="27" a="1"/>
  <c r="K151" i="27" s="1"/>
  <c r="H150" i="27"/>
  <c r="I150" i="27" s="1"/>
  <c r="Q150" i="27"/>
  <c r="K150" i="27" a="1"/>
  <c r="K150" i="27" s="1"/>
  <c r="H149" i="27"/>
  <c r="I149" i="27" s="1"/>
  <c r="L149" i="27" s="1"/>
  <c r="Q149" i="27"/>
  <c r="K149" i="27" a="1"/>
  <c r="K149" i="27" s="1"/>
  <c r="H148" i="27"/>
  <c r="I148" i="27" s="1"/>
  <c r="K148" i="27" a="1"/>
  <c r="K148" i="27" s="1"/>
  <c r="Q148" i="27"/>
  <c r="H147" i="27"/>
  <c r="I147" i="27" s="1"/>
  <c r="Q147" i="27"/>
  <c r="K147" i="27" a="1"/>
  <c r="K147" i="27" s="1"/>
  <c r="H146" i="27"/>
  <c r="I146" i="27" s="1"/>
  <c r="K146" i="27" a="1"/>
  <c r="K146" i="27" s="1"/>
  <c r="Q146" i="27"/>
  <c r="H145" i="27"/>
  <c r="I145" i="27" s="1"/>
  <c r="L145" i="27" s="1"/>
  <c r="Q145" i="27"/>
  <c r="K145" i="27" a="1"/>
  <c r="K145" i="27" s="1"/>
  <c r="H144" i="27"/>
  <c r="I144" i="27" s="1"/>
  <c r="L144" i="27" s="1"/>
  <c r="Q144" i="27"/>
  <c r="K144" i="27" a="1"/>
  <c r="K144" i="27" s="1"/>
  <c r="H143" i="27"/>
  <c r="I143" i="27" s="1"/>
  <c r="Q143" i="27"/>
  <c r="K143" i="27" a="1"/>
  <c r="K143" i="27" s="1"/>
  <c r="H142" i="27"/>
  <c r="I142" i="27" s="1"/>
  <c r="Q142" i="27"/>
  <c r="K142" i="27" a="1"/>
  <c r="K142" i="27" s="1"/>
  <c r="H141" i="27"/>
  <c r="I141" i="27" s="1"/>
  <c r="K141" i="27" a="1"/>
  <c r="K141" i="27" s="1"/>
  <c r="Q141" i="27"/>
  <c r="H140" i="27"/>
  <c r="I140" i="27" s="1"/>
  <c r="Q140" i="27"/>
  <c r="K140" i="27" a="1"/>
  <c r="K140" i="27" s="1"/>
  <c r="H139" i="27"/>
  <c r="I139" i="27" s="1"/>
  <c r="Q139" i="27"/>
  <c r="K139" i="27" a="1"/>
  <c r="K139" i="27" s="1"/>
  <c r="H138" i="27"/>
  <c r="I138" i="27" s="1"/>
  <c r="Q138" i="27"/>
  <c r="K138" i="27" a="1"/>
  <c r="K138" i="27" s="1"/>
  <c r="H137" i="27"/>
  <c r="I137" i="27" s="1"/>
  <c r="K137" i="27" a="1"/>
  <c r="K137" i="27" s="1"/>
  <c r="Q137" i="27"/>
  <c r="H136" i="27"/>
  <c r="I136" i="27" s="1"/>
  <c r="K136" i="27" a="1"/>
  <c r="K136" i="27" s="1"/>
  <c r="Q136" i="27"/>
  <c r="H135" i="27"/>
  <c r="I135" i="27" s="1"/>
  <c r="K135" i="27" a="1"/>
  <c r="K135" i="27" s="1"/>
  <c r="Q135" i="27"/>
  <c r="H134" i="27"/>
  <c r="I134" i="27" s="1"/>
  <c r="K134" i="27" a="1"/>
  <c r="K134" i="27" s="1"/>
  <c r="Q134" i="27"/>
  <c r="H133" i="27"/>
  <c r="I133" i="27" s="1"/>
  <c r="K133" i="27" a="1"/>
  <c r="K133" i="27" s="1"/>
  <c r="Q133" i="27"/>
  <c r="H132" i="27"/>
  <c r="I132" i="27" s="1"/>
  <c r="K132" i="27" a="1"/>
  <c r="K132" i="27" s="1"/>
  <c r="Q132" i="27"/>
  <c r="H131" i="27"/>
  <c r="I131" i="27" s="1"/>
  <c r="K131" i="27" a="1"/>
  <c r="K131" i="27" s="1"/>
  <c r="Q131" i="27"/>
  <c r="H239" i="2"/>
  <c r="F239" i="2"/>
  <c r="J109" i="8"/>
  <c r="K109" i="8" s="1"/>
  <c r="I183" i="2"/>
  <c r="L183" i="2" s="1"/>
  <c r="K183" i="2" a="1"/>
  <c r="K183" i="2" s="1"/>
  <c r="Q183" i="2"/>
  <c r="Q182" i="2"/>
  <c r="K182" i="2" a="1"/>
  <c r="K182" i="2" s="1"/>
  <c r="I182" i="2"/>
  <c r="J182" i="2" s="1"/>
  <c r="H130" i="27"/>
  <c r="I130" i="27" s="1"/>
  <c r="K130" i="27" a="1"/>
  <c r="K130" i="27" s="1"/>
  <c r="Q130" i="27"/>
  <c r="H129" i="27"/>
  <c r="I129" i="27" s="1"/>
  <c r="K129" i="27" a="1"/>
  <c r="K129" i="27" s="1"/>
  <c r="Q129" i="27"/>
  <c r="H128" i="27"/>
  <c r="I128" i="27" s="1"/>
  <c r="K128" i="27" a="1"/>
  <c r="K128" i="27" s="1"/>
  <c r="Q128" i="27"/>
  <c r="H127" i="27"/>
  <c r="I127" i="27" s="1"/>
  <c r="K127" i="27" a="1"/>
  <c r="K127" i="27" s="1"/>
  <c r="Q127" i="27"/>
  <c r="H126" i="27"/>
  <c r="I126" i="27" s="1"/>
  <c r="K126" i="27" a="1"/>
  <c r="K126" i="27" s="1"/>
  <c r="Q126" i="27"/>
  <c r="H125" i="27"/>
  <c r="I125" i="27" s="1"/>
  <c r="K125" i="27" a="1"/>
  <c r="K125" i="27" s="1"/>
  <c r="Q125" i="27"/>
  <c r="H124" i="27"/>
  <c r="I124" i="27" s="1"/>
  <c r="J124" i="27" s="1"/>
  <c r="K124" i="27" a="1"/>
  <c r="K124" i="27" s="1"/>
  <c r="Q124" i="27"/>
  <c r="H123" i="27"/>
  <c r="I123" i="27" s="1"/>
  <c r="K123" i="27" a="1"/>
  <c r="K123" i="27" s="1"/>
  <c r="Q123" i="27"/>
  <c r="H122" i="27"/>
  <c r="I122" i="27" s="1"/>
  <c r="K122" i="27" a="1"/>
  <c r="K122" i="27" s="1"/>
  <c r="Q122" i="27"/>
  <c r="H121" i="27"/>
  <c r="I121" i="27" s="1"/>
  <c r="K121" i="27" a="1"/>
  <c r="K121" i="27" s="1"/>
  <c r="Q121" i="27"/>
  <c r="H120" i="27"/>
  <c r="I120" i="27" s="1"/>
  <c r="J120" i="27" s="1"/>
  <c r="K120" i="27" a="1"/>
  <c r="K120" i="27" s="1"/>
  <c r="Q120" i="27"/>
  <c r="H119" i="27"/>
  <c r="I119" i="27" s="1"/>
  <c r="K119" i="27" a="1"/>
  <c r="K119" i="27" s="1"/>
  <c r="Q119" i="27"/>
  <c r="H118" i="27"/>
  <c r="I118" i="27" s="1"/>
  <c r="K118" i="27" a="1"/>
  <c r="K118" i="27" s="1"/>
  <c r="Q118" i="27"/>
  <c r="H117" i="27"/>
  <c r="I117" i="27" s="1"/>
  <c r="K117" i="27" a="1"/>
  <c r="K117" i="27" s="1"/>
  <c r="Q117" i="27"/>
  <c r="H116" i="27"/>
  <c r="I116" i="27" s="1"/>
  <c r="J116" i="27" s="1"/>
  <c r="K116" i="27" a="1"/>
  <c r="K116" i="27" s="1"/>
  <c r="Q116" i="27"/>
  <c r="H115" i="27"/>
  <c r="I115" i="27" s="1"/>
  <c r="K115" i="27" a="1"/>
  <c r="K115" i="27" s="1"/>
  <c r="Q115" i="27"/>
  <c r="H114" i="27"/>
  <c r="I114" i="27" s="1"/>
  <c r="K114" i="27" a="1"/>
  <c r="K114" i="27" s="1"/>
  <c r="Q114" i="27"/>
  <c r="H113" i="27"/>
  <c r="I113" i="27" s="1"/>
  <c r="K113" i="27" a="1"/>
  <c r="K113" i="27" s="1"/>
  <c r="Q113" i="27"/>
  <c r="H112" i="27"/>
  <c r="I112" i="27" s="1"/>
  <c r="K112" i="27" a="1"/>
  <c r="K112" i="27" s="1"/>
  <c r="Q112" i="27"/>
  <c r="H111" i="27"/>
  <c r="I111" i="27" s="1"/>
  <c r="K111" i="27" a="1"/>
  <c r="K111" i="27" s="1"/>
  <c r="Q111" i="27"/>
  <c r="H110" i="27"/>
  <c r="I110" i="27" s="1"/>
  <c r="K110" i="27" a="1"/>
  <c r="K110" i="27" s="1"/>
  <c r="Q110" i="27"/>
  <c r="H109" i="27"/>
  <c r="I109" i="27" s="1"/>
  <c r="K109" i="27" a="1"/>
  <c r="K109" i="27" s="1"/>
  <c r="Q109" i="27"/>
  <c r="H108" i="27"/>
  <c r="I108" i="27" s="1"/>
  <c r="K108" i="27" a="1"/>
  <c r="K108" i="27" s="1"/>
  <c r="Q108" i="27"/>
  <c r="H107" i="27"/>
  <c r="I107" i="27" s="1"/>
  <c r="K107" i="27" a="1"/>
  <c r="K107" i="27" s="1"/>
  <c r="Q107" i="27"/>
  <c r="H106" i="27"/>
  <c r="I106" i="27" s="1"/>
  <c r="K106" i="27" a="1"/>
  <c r="K106" i="27" s="1"/>
  <c r="Q106" i="27"/>
  <c r="H105" i="27"/>
  <c r="I105" i="27" s="1"/>
  <c r="K105" i="27" a="1"/>
  <c r="K105" i="27" s="1"/>
  <c r="Q105" i="27"/>
  <c r="H104" i="27"/>
  <c r="I104" i="27" s="1"/>
  <c r="K104" i="27" a="1"/>
  <c r="K104" i="27" s="1"/>
  <c r="Q104" i="27"/>
  <c r="H103" i="27"/>
  <c r="I103" i="27" s="1"/>
  <c r="K103" i="27" a="1"/>
  <c r="K103" i="27" s="1"/>
  <c r="Q103" i="27"/>
  <c r="H102" i="27"/>
  <c r="I102" i="27" s="1"/>
  <c r="K102" i="27" a="1"/>
  <c r="K102" i="27" s="1"/>
  <c r="Q102" i="27"/>
  <c r="H101" i="27"/>
  <c r="I101" i="27" s="1"/>
  <c r="H100" i="27"/>
  <c r="I100" i="27" s="1"/>
  <c r="K100" i="27" a="1"/>
  <c r="K100" i="27" s="1"/>
  <c r="Q100" i="27"/>
  <c r="K101" i="27" a="1"/>
  <c r="K101" i="27" s="1"/>
  <c r="Q101" i="27"/>
  <c r="H99" i="27"/>
  <c r="I99" i="27" s="1"/>
  <c r="K99" i="27" a="1"/>
  <c r="K99" i="27" s="1"/>
  <c r="Q99" i="27"/>
  <c r="H98" i="27"/>
  <c r="I98" i="27" s="1"/>
  <c r="L98" i="27" s="1"/>
  <c r="Q98" i="27"/>
  <c r="K98" i="27" a="1"/>
  <c r="K98" i="27" s="1"/>
  <c r="H97" i="27"/>
  <c r="I97" i="27" s="1"/>
  <c r="K97" i="27" a="1"/>
  <c r="K97" i="27" s="1"/>
  <c r="Q97" i="27"/>
  <c r="H96" i="27"/>
  <c r="I96" i="27" s="1"/>
  <c r="K96" i="27" a="1"/>
  <c r="K96" i="27" s="1"/>
  <c r="Q96" i="27"/>
  <c r="H95" i="27"/>
  <c r="I95" i="27" s="1"/>
  <c r="K95" i="27" a="1"/>
  <c r="K95" i="27" s="1"/>
  <c r="Q95" i="27"/>
  <c r="H94" i="27"/>
  <c r="I94" i="27" s="1"/>
  <c r="K94" i="27" a="1"/>
  <c r="K94" i="27" s="1"/>
  <c r="Q94" i="27"/>
  <c r="H93" i="27"/>
  <c r="I93" i="27" s="1"/>
  <c r="K93" i="27" a="1"/>
  <c r="K93" i="27" s="1"/>
  <c r="Q93" i="27"/>
  <c r="H92" i="27"/>
  <c r="I92" i="27" s="1"/>
  <c r="J92" i="27" s="1"/>
  <c r="K92" i="27" a="1"/>
  <c r="K92" i="27" s="1"/>
  <c r="Q92" i="27"/>
  <c r="H91" i="27"/>
  <c r="I91" i="27" s="1"/>
  <c r="K91" i="27" a="1"/>
  <c r="K91" i="27" s="1"/>
  <c r="Q91" i="27"/>
  <c r="H90" i="27"/>
  <c r="I90" i="27" s="1"/>
  <c r="K90" i="27" a="1"/>
  <c r="K90" i="27" s="1"/>
  <c r="Q90" i="27"/>
  <c r="H89" i="27"/>
  <c r="I89" i="27" s="1"/>
  <c r="J89" i="27" s="1"/>
  <c r="K89" i="27" a="1"/>
  <c r="K89" i="27" s="1"/>
  <c r="Q89" i="27"/>
  <c r="N88" i="27"/>
  <c r="H88" i="27"/>
  <c r="I88" i="27" s="1"/>
  <c r="K88" i="27" a="1"/>
  <c r="K88" i="27" s="1"/>
  <c r="Q88" i="27"/>
  <c r="H81" i="27"/>
  <c r="I81" i="27" s="1"/>
  <c r="H87" i="27"/>
  <c r="I87" i="27" s="1"/>
  <c r="K87" i="27" a="1"/>
  <c r="K87" i="27" s="1"/>
  <c r="Q87" i="27"/>
  <c r="H86" i="27"/>
  <c r="I86" i="27" s="1"/>
  <c r="K86" i="27" a="1"/>
  <c r="K86" i="27" s="1"/>
  <c r="Q86" i="27"/>
  <c r="H85" i="27"/>
  <c r="I85" i="27" s="1"/>
  <c r="K85" i="27" a="1"/>
  <c r="K85" i="27" s="1"/>
  <c r="Q85" i="27"/>
  <c r="H84" i="27"/>
  <c r="I84" i="27" s="1"/>
  <c r="J84" i="27" s="1"/>
  <c r="K84" i="27" a="1"/>
  <c r="K84" i="27" s="1"/>
  <c r="Q84" i="27"/>
  <c r="H82" i="27"/>
  <c r="I82" i="27" s="1"/>
  <c r="H83" i="27"/>
  <c r="I83" i="27" s="1"/>
  <c r="J83" i="27" s="1"/>
  <c r="K83" i="27" a="1"/>
  <c r="K83" i="27" s="1"/>
  <c r="Q83" i="27"/>
  <c r="K82" i="27" a="1"/>
  <c r="K82" i="27" s="1"/>
  <c r="Q82" i="27"/>
  <c r="I181" i="2"/>
  <c r="I180" i="2"/>
  <c r="J180" i="2" s="1"/>
  <c r="K180" i="2" a="1"/>
  <c r="K180" i="2" s="1"/>
  <c r="Q180" i="2"/>
  <c r="K181" i="2" a="1"/>
  <c r="K181" i="2" s="1"/>
  <c r="Q181" i="2"/>
  <c r="Q179" i="2"/>
  <c r="K179" i="2" a="1"/>
  <c r="K179" i="2" s="1"/>
  <c r="I179" i="2"/>
  <c r="L179" i="2" s="1"/>
  <c r="M7" i="27"/>
  <c r="P7" i="27" s="1"/>
  <c r="Q7" i="27" s="1"/>
  <c r="Q81" i="27"/>
  <c r="K81" i="27" a="1"/>
  <c r="K81" i="27" s="1"/>
  <c r="H80" i="27"/>
  <c r="I80" i="27" s="1"/>
  <c r="L80" i="27" s="1"/>
  <c r="H79" i="27"/>
  <c r="I79" i="27" s="1"/>
  <c r="Q79" i="27"/>
  <c r="K79" i="27" a="1"/>
  <c r="K79" i="27" s="1"/>
  <c r="H78" i="27"/>
  <c r="I78" i="27" s="1"/>
  <c r="J78" i="27" s="1"/>
  <c r="K80" i="27" a="1"/>
  <c r="K80" i="27" s="1"/>
  <c r="Q80" i="27"/>
  <c r="K78" i="27" a="1"/>
  <c r="K78" i="27" s="1"/>
  <c r="Q78" i="27"/>
  <c r="H77" i="27"/>
  <c r="I77" i="27" s="1"/>
  <c r="K77" i="27" a="1"/>
  <c r="K77" i="27" s="1"/>
  <c r="Q77" i="27"/>
  <c r="H76" i="27"/>
  <c r="I76" i="27" s="1"/>
  <c r="K76" i="27" a="1"/>
  <c r="K76" i="27" s="1"/>
  <c r="Q76" i="27"/>
  <c r="H75" i="27"/>
  <c r="F75" i="27"/>
  <c r="H74" i="27"/>
  <c r="I74" i="27" s="1"/>
  <c r="K75" i="27" a="1"/>
  <c r="K75" i="27" s="1"/>
  <c r="Q75" i="27"/>
  <c r="K74" i="27" a="1"/>
  <c r="K74" i="27" s="1"/>
  <c r="Q74" i="27"/>
  <c r="H73" i="27"/>
  <c r="F73" i="27"/>
  <c r="Q73" i="27"/>
  <c r="K73" i="27" a="1"/>
  <c r="K73" i="27" s="1"/>
  <c r="H72" i="27"/>
  <c r="I72" i="27" s="1"/>
  <c r="L72" i="27" s="1"/>
  <c r="Q72" i="27"/>
  <c r="K72" i="27" a="1"/>
  <c r="K72" i="27" s="1"/>
  <c r="H62" i="27"/>
  <c r="I62" i="27" s="1"/>
  <c r="H71" i="27"/>
  <c r="I71" i="27" s="1"/>
  <c r="Q71" i="27"/>
  <c r="K71" i="27" a="1"/>
  <c r="K71" i="27" s="1"/>
  <c r="H70" i="27"/>
  <c r="I70" i="27" s="1"/>
  <c r="H69" i="27"/>
  <c r="I69" i="27" s="1"/>
  <c r="L69" i="27" s="1"/>
  <c r="H68" i="27"/>
  <c r="I68" i="27" s="1"/>
  <c r="L68" i="27" s="1"/>
  <c r="H67" i="27"/>
  <c r="I67" i="27" s="1"/>
  <c r="K67" i="27" a="1"/>
  <c r="K67" i="27" s="1"/>
  <c r="Q67" i="27"/>
  <c r="K68" i="27" a="1"/>
  <c r="K68" i="27" s="1"/>
  <c r="Q68" i="27"/>
  <c r="K69" i="27" a="1"/>
  <c r="K69" i="27" s="1"/>
  <c r="Q69" i="27"/>
  <c r="K70" i="27" a="1"/>
  <c r="K70" i="27" s="1"/>
  <c r="Q70" i="27"/>
  <c r="H66" i="27"/>
  <c r="I66" i="27" s="1"/>
  <c r="Q66" i="27"/>
  <c r="K66" i="27" a="1"/>
  <c r="K66" i="27" s="1"/>
  <c r="H177" i="2"/>
  <c r="I177" i="2" s="1"/>
  <c r="J177" i="2" s="1"/>
  <c r="K177" i="2" a="1"/>
  <c r="K177" i="2" s="1"/>
  <c r="Q177" i="2"/>
  <c r="H178" i="2"/>
  <c r="I178" i="2" s="1"/>
  <c r="K178" i="2" a="1"/>
  <c r="K178" i="2" s="1"/>
  <c r="Q178" i="2"/>
  <c r="P108" i="8"/>
  <c r="J108" i="8"/>
  <c r="H108" i="8"/>
  <c r="Q176" i="2"/>
  <c r="K176" i="2" a="1"/>
  <c r="K176" i="2" s="1"/>
  <c r="H176" i="2"/>
  <c r="I176" i="2" s="1"/>
  <c r="Q175" i="2"/>
  <c r="K175" i="2" a="1"/>
  <c r="K175" i="2" s="1"/>
  <c r="I175" i="2"/>
  <c r="L175" i="2" s="1"/>
  <c r="V232" i="2"/>
  <c r="V231" i="2"/>
  <c r="I65" i="27"/>
  <c r="Q65" i="27"/>
  <c r="K65" i="27" a="1"/>
  <c r="K65" i="27" s="1"/>
  <c r="H64" i="27"/>
  <c r="I64" i="27" s="1"/>
  <c r="L64" i="27" s="1"/>
  <c r="H63" i="27"/>
  <c r="I63" i="27" s="1"/>
  <c r="J63" i="27" s="1"/>
  <c r="K63" i="27" a="1"/>
  <c r="K63" i="27" s="1"/>
  <c r="Q63" i="27"/>
  <c r="K64" i="27" a="1"/>
  <c r="K64" i="27" s="1"/>
  <c r="Q64" i="27"/>
  <c r="K62" i="27" a="1"/>
  <c r="K62" i="27" s="1"/>
  <c r="Q62" i="27"/>
  <c r="H60" i="27"/>
  <c r="I60" i="27" s="1"/>
  <c r="H61" i="27"/>
  <c r="I61" i="27" s="1"/>
  <c r="L61" i="27" s="1"/>
  <c r="H59" i="27"/>
  <c r="I59" i="27" s="1"/>
  <c r="L59" i="27" s="1"/>
  <c r="K60" i="27" a="1"/>
  <c r="K60" i="27" s="1"/>
  <c r="Q60" i="27"/>
  <c r="K61" i="27" a="1"/>
  <c r="K61" i="27" s="1"/>
  <c r="Q61" i="27"/>
  <c r="H58" i="27"/>
  <c r="I58" i="27" s="1"/>
  <c r="I174" i="2"/>
  <c r="L174" i="2" s="1"/>
  <c r="Q174" i="2"/>
  <c r="K174" i="2" a="1"/>
  <c r="K174" i="2" s="1"/>
  <c r="Q173" i="2"/>
  <c r="K173" i="2" a="1"/>
  <c r="K173" i="2" s="1"/>
  <c r="H173" i="2"/>
  <c r="I173" i="2" s="1"/>
  <c r="J173" i="2" s="1"/>
  <c r="Q59" i="27"/>
  <c r="K59" i="27" a="1"/>
  <c r="K59" i="27" s="1"/>
  <c r="K58" i="27" a="1"/>
  <c r="K58" i="27" s="1"/>
  <c r="Q58" i="27"/>
  <c r="H55" i="27"/>
  <c r="I55" i="27" s="1"/>
  <c r="H57" i="27"/>
  <c r="I57" i="27" s="1"/>
  <c r="Q57" i="27"/>
  <c r="K57" i="27" a="1"/>
  <c r="K57" i="27" s="1"/>
  <c r="H56" i="27"/>
  <c r="I56" i="27" s="1"/>
  <c r="Q56" i="27"/>
  <c r="K56" i="27" a="1"/>
  <c r="K56" i="27" s="1"/>
  <c r="K55" i="27" a="1"/>
  <c r="K55" i="27" s="1"/>
  <c r="Q55" i="27"/>
  <c r="D6" i="27"/>
  <c r="E5" i="28" s="1"/>
  <c r="H263" i="2"/>
  <c r="I263" i="2" s="1"/>
  <c r="J263" i="2" s="1"/>
  <c r="H262" i="2"/>
  <c r="I262" i="2" s="1"/>
  <c r="J262" i="2" s="1"/>
  <c r="H295" i="2"/>
  <c r="H300" i="2" s="1"/>
  <c r="I172" i="2"/>
  <c r="K172" i="2" a="1"/>
  <c r="K172" i="2" s="1"/>
  <c r="Q172" i="2"/>
  <c r="H54" i="27"/>
  <c r="I54" i="27" s="1"/>
  <c r="K54" i="27" a="1"/>
  <c r="K54" i="27" s="1"/>
  <c r="Q54" i="27"/>
  <c r="H53" i="27"/>
  <c r="I53" i="27" s="1"/>
  <c r="J53" i="27" s="1"/>
  <c r="K53" i="27" a="1"/>
  <c r="K53" i="27" s="1"/>
  <c r="Q53" i="27"/>
  <c r="Q171" i="2"/>
  <c r="K171" i="2" a="1"/>
  <c r="K171" i="2" s="1"/>
  <c r="H171" i="2"/>
  <c r="I171" i="2" s="1"/>
  <c r="H50" i="27"/>
  <c r="I50" i="27" s="1"/>
  <c r="K50" i="27" a="1"/>
  <c r="K50" i="27" s="1"/>
  <c r="Q50" i="27"/>
  <c r="H51" i="27"/>
  <c r="I51" i="27" s="1"/>
  <c r="K51" i="27" a="1"/>
  <c r="K51" i="27" s="1"/>
  <c r="Q51" i="27"/>
  <c r="H52" i="27"/>
  <c r="I52" i="27" s="1"/>
  <c r="K52" i="27" a="1"/>
  <c r="K52" i="27" s="1"/>
  <c r="Q52" i="27"/>
  <c r="H49" i="27"/>
  <c r="I49" i="27" s="1"/>
  <c r="H48" i="27"/>
  <c r="I48" i="27" s="1"/>
  <c r="L48" i="27" s="1"/>
  <c r="H47" i="27"/>
  <c r="I47" i="27" s="1"/>
  <c r="Q49" i="27"/>
  <c r="K49" i="27" a="1"/>
  <c r="K49" i="27" s="1"/>
  <c r="Q48" i="27"/>
  <c r="K48" i="27" a="1"/>
  <c r="K48" i="27" s="1"/>
  <c r="J107" i="8"/>
  <c r="K107" i="8" s="1"/>
  <c r="J106" i="8"/>
  <c r="K106" i="8" s="1"/>
  <c r="J105" i="8"/>
  <c r="H105" i="8"/>
  <c r="N47" i="27"/>
  <c r="H46" i="27"/>
  <c r="I46" i="27" s="1"/>
  <c r="N46" i="27"/>
  <c r="K46" i="27" a="1"/>
  <c r="K46" i="27" s="1"/>
  <c r="Q46" i="27"/>
  <c r="K47" i="27" a="1"/>
  <c r="K47" i="27" s="1"/>
  <c r="Q47" i="27"/>
  <c r="H45" i="27"/>
  <c r="I45" i="27" s="1"/>
  <c r="L45" i="27" s="1"/>
  <c r="Q45" i="27"/>
  <c r="K45" i="27" a="1"/>
  <c r="K45" i="27" s="1"/>
  <c r="H44" i="27"/>
  <c r="F44" i="27"/>
  <c r="H43" i="27"/>
  <c r="I43" i="27" s="1"/>
  <c r="H42" i="27"/>
  <c r="I42" i="27" s="1"/>
  <c r="K42" i="27" a="1"/>
  <c r="K42" i="27" s="1"/>
  <c r="Q42" i="27"/>
  <c r="K43" i="27" a="1"/>
  <c r="K43" i="27" s="1"/>
  <c r="Q43" i="27"/>
  <c r="K44" i="27" a="1"/>
  <c r="K44" i="27" s="1"/>
  <c r="Q44" i="27"/>
  <c r="H41" i="27"/>
  <c r="I41" i="27" s="1"/>
  <c r="J41" i="27" s="1"/>
  <c r="Q41" i="27"/>
  <c r="K41" i="27" a="1"/>
  <c r="K41" i="27" s="1"/>
  <c r="N40" i="27"/>
  <c r="H40" i="27"/>
  <c r="I40" i="27" s="1"/>
  <c r="H39" i="27"/>
  <c r="I39" i="27" s="1"/>
  <c r="K39" i="27" a="1"/>
  <c r="K39" i="27" s="1"/>
  <c r="Q39" i="27"/>
  <c r="K40" i="27" a="1"/>
  <c r="K40" i="27" s="1"/>
  <c r="Q40" i="27"/>
  <c r="H38" i="27"/>
  <c r="Q38" i="27"/>
  <c r="K38" i="27" a="1"/>
  <c r="K38" i="27" s="1"/>
  <c r="N37" i="27"/>
  <c r="H37" i="27"/>
  <c r="I37" i="27" s="1"/>
  <c r="J37" i="27" s="1"/>
  <c r="Q37" i="27"/>
  <c r="K37" i="27" a="1"/>
  <c r="K37" i="27" s="1"/>
  <c r="H36" i="27"/>
  <c r="I36" i="27" s="1"/>
  <c r="H35" i="27"/>
  <c r="I35" i="27" s="1"/>
  <c r="K35" i="27" a="1"/>
  <c r="K35" i="27" s="1"/>
  <c r="Q35" i="27"/>
  <c r="K36" i="27" a="1"/>
  <c r="K36" i="27" s="1"/>
  <c r="Q36" i="27"/>
  <c r="H26" i="27"/>
  <c r="I26" i="27" s="1"/>
  <c r="H25" i="27"/>
  <c r="I25" i="27" s="1"/>
  <c r="L25" i="27" s="1"/>
  <c r="H34" i="27"/>
  <c r="I34" i="27" s="1"/>
  <c r="J34" i="27" s="1"/>
  <c r="H33" i="27"/>
  <c r="I33" i="27" s="1"/>
  <c r="J33" i="27" s="1"/>
  <c r="K33" i="27" a="1"/>
  <c r="K33" i="27" s="1"/>
  <c r="Q33" i="27"/>
  <c r="K34" i="27" a="1"/>
  <c r="K34" i="27" s="1"/>
  <c r="Q34" i="27"/>
  <c r="H32" i="27"/>
  <c r="I32" i="27" s="1"/>
  <c r="J32" i="27" s="1"/>
  <c r="K32" i="27" a="1"/>
  <c r="K32" i="27" s="1"/>
  <c r="Q32" i="27"/>
  <c r="H31" i="27"/>
  <c r="I31" i="27" s="1"/>
  <c r="J31" i="27" s="1"/>
  <c r="K31" i="27" a="1"/>
  <c r="K31" i="27" s="1"/>
  <c r="Q31" i="27"/>
  <c r="H30" i="27"/>
  <c r="I30" i="27" s="1"/>
  <c r="H29" i="27"/>
  <c r="I29" i="27" s="1"/>
  <c r="K29" i="27" a="1"/>
  <c r="K29" i="27" s="1"/>
  <c r="Q29" i="27"/>
  <c r="K30" i="27" a="1"/>
  <c r="K30" i="27" s="1"/>
  <c r="Q30" i="27"/>
  <c r="H28" i="27"/>
  <c r="I28" i="27" s="1"/>
  <c r="H27" i="27"/>
  <c r="I27" i="27" s="1"/>
  <c r="L27" i="27" s="1"/>
  <c r="K27" i="27" a="1"/>
  <c r="K27" i="27" s="1"/>
  <c r="Q27" i="27"/>
  <c r="K28" i="27" a="1"/>
  <c r="K28" i="27" s="1"/>
  <c r="Q28" i="27"/>
  <c r="H21" i="27"/>
  <c r="I21" i="27" s="1"/>
  <c r="J21" i="27" s="1"/>
  <c r="K26" i="27" a="1"/>
  <c r="K26" i="27" s="1"/>
  <c r="Q26" i="27"/>
  <c r="H24" i="27"/>
  <c r="I24" i="27" s="1"/>
  <c r="J24" i="27" s="1"/>
  <c r="K24" i="27" a="1"/>
  <c r="K24" i="27" s="1"/>
  <c r="Q24" i="27"/>
  <c r="K25" i="27" a="1"/>
  <c r="K25" i="27" s="1"/>
  <c r="Q25" i="27"/>
  <c r="H23" i="27"/>
  <c r="I23" i="27" s="1"/>
  <c r="H22" i="27"/>
  <c r="I22" i="27" s="1"/>
  <c r="J22" i="27" s="1"/>
  <c r="K23" i="27" a="1"/>
  <c r="K23" i="27" s="1"/>
  <c r="Q23" i="27"/>
  <c r="K22" i="27" a="1"/>
  <c r="K22" i="27" s="1"/>
  <c r="Q22" i="27"/>
  <c r="K21" i="27" a="1"/>
  <c r="K21" i="27" s="1"/>
  <c r="Q21" i="27"/>
  <c r="H20" i="27"/>
  <c r="I20" i="27" s="1"/>
  <c r="Q20" i="27"/>
  <c r="K20" i="27" a="1"/>
  <c r="K20" i="27" s="1"/>
  <c r="E14" i="27"/>
  <c r="E15" i="27" s="1"/>
  <c r="H170" i="2"/>
  <c r="F170" i="2"/>
  <c r="Q170" i="2"/>
  <c r="K170" i="2" a="1"/>
  <c r="K170" i="2" s="1"/>
  <c r="V212" i="2"/>
  <c r="L212" i="2" a="1"/>
  <c r="L212" i="2" s="1"/>
  <c r="G214" i="2"/>
  <c r="I214" i="2" s="1"/>
  <c r="J214" i="2" s="1"/>
  <c r="Q169" i="2"/>
  <c r="K169" i="2" a="1"/>
  <c r="K169" i="2" s="1"/>
  <c r="H169" i="2"/>
  <c r="I169" i="2" s="1"/>
  <c r="H279" i="2"/>
  <c r="F279" i="2"/>
  <c r="C279" i="2" s="1"/>
  <c r="H270" i="2"/>
  <c r="I270" i="2" s="1"/>
  <c r="J270" i="2" s="1"/>
  <c r="V214" i="2"/>
  <c r="L214" i="2" a="1"/>
  <c r="L214" i="2" s="1"/>
  <c r="Q168" i="2"/>
  <c r="K168" i="2" a="1"/>
  <c r="K168" i="2" s="1"/>
  <c r="H168" i="2"/>
  <c r="I168" i="2" s="1"/>
  <c r="H167" i="2"/>
  <c r="I167" i="2" s="1"/>
  <c r="L167" i="2" s="1"/>
  <c r="Q167" i="2"/>
  <c r="K167" i="2" a="1"/>
  <c r="K167" i="2" s="1"/>
  <c r="Q166" i="2"/>
  <c r="K166" i="2" a="1"/>
  <c r="K166" i="2" s="1"/>
  <c r="H166" i="2"/>
  <c r="I166" i="2" s="1"/>
  <c r="H287" i="2"/>
  <c r="H292" i="2" s="1"/>
  <c r="H278" i="2"/>
  <c r="I165" i="2"/>
  <c r="Q165" i="2"/>
  <c r="K165" i="2" a="1"/>
  <c r="K165" i="2" s="1"/>
  <c r="V216" i="2"/>
  <c r="H164" i="2"/>
  <c r="I164" i="2" s="1"/>
  <c r="J164" i="2" s="1"/>
  <c r="Q164" i="2"/>
  <c r="K164" i="2" a="1"/>
  <c r="K164" i="2" s="1"/>
  <c r="N162" i="2"/>
  <c r="H162" i="2"/>
  <c r="I162" i="2" s="1"/>
  <c r="H163" i="2"/>
  <c r="I163" i="2" s="1"/>
  <c r="J163" i="2" s="1"/>
  <c r="Q163" i="2"/>
  <c r="K163" i="2" a="1"/>
  <c r="K163" i="2" s="1"/>
  <c r="Q162" i="2"/>
  <c r="K162" i="2" a="1"/>
  <c r="K162" i="2" s="1"/>
  <c r="H161" i="2"/>
  <c r="I161" i="2" s="1"/>
  <c r="L161" i="2" s="1"/>
  <c r="Q161" i="2"/>
  <c r="K161" i="2" a="1"/>
  <c r="K161" i="2" s="1"/>
  <c r="F160" i="2"/>
  <c r="N160" i="2"/>
  <c r="H160" i="2"/>
  <c r="Q160" i="2"/>
  <c r="K160" i="2" a="1"/>
  <c r="K160" i="2" s="1"/>
  <c r="N159" i="2"/>
  <c r="I159" i="2"/>
  <c r="Q159" i="2"/>
  <c r="K159" i="2" a="1"/>
  <c r="K159" i="2" s="1"/>
  <c r="H158" i="2"/>
  <c r="I158" i="2" s="1"/>
  <c r="K158" i="2" a="1"/>
  <c r="K158" i="2" s="1"/>
  <c r="Q158" i="2"/>
  <c r="Q157" i="2"/>
  <c r="K157" i="2" a="1"/>
  <c r="K157" i="2" s="1"/>
  <c r="H157" i="2"/>
  <c r="I157" i="2" s="1"/>
  <c r="Q156" i="2"/>
  <c r="K156" i="2" a="1"/>
  <c r="K156" i="2" s="1"/>
  <c r="H156" i="2"/>
  <c r="I156" i="2" s="1"/>
  <c r="I155" i="2"/>
  <c r="Q155" i="2"/>
  <c r="K155" i="2" a="1"/>
  <c r="K155" i="2" s="1"/>
  <c r="Q154" i="2"/>
  <c r="K154" i="2" a="1"/>
  <c r="K154" i="2" s="1"/>
  <c r="H154" i="2"/>
  <c r="I154" i="2" s="1"/>
  <c r="Q153" i="2"/>
  <c r="K153" i="2" a="1"/>
  <c r="K153" i="2" s="1"/>
  <c r="H153" i="2"/>
  <c r="I153" i="2" s="1"/>
  <c r="Q152" i="2"/>
  <c r="K152" i="2" a="1"/>
  <c r="K152" i="2" s="1"/>
  <c r="H152" i="2"/>
  <c r="I152" i="2" s="1"/>
  <c r="G267" i="2"/>
  <c r="F267" i="2"/>
  <c r="C265" i="2"/>
  <c r="I265" i="2"/>
  <c r="J265" i="2" s="1"/>
  <c r="C266" i="2"/>
  <c r="I266" i="2"/>
  <c r="J266" i="2" s="1"/>
  <c r="G275" i="2"/>
  <c r="H212" i="2" s="1"/>
  <c r="F275" i="2"/>
  <c r="G212" i="2" s="1"/>
  <c r="H151" i="2"/>
  <c r="I151" i="2" s="1"/>
  <c r="K151" i="2" a="1"/>
  <c r="K151" i="2" s="1"/>
  <c r="Q151" i="2"/>
  <c r="H150" i="2"/>
  <c r="I150" i="2" s="1"/>
  <c r="Q150" i="2"/>
  <c r="K150" i="2" a="1"/>
  <c r="K150" i="2" s="1"/>
  <c r="G300" i="2"/>
  <c r="F300" i="2"/>
  <c r="I299" i="2"/>
  <c r="J299" i="2" s="1"/>
  <c r="C299" i="2"/>
  <c r="I298" i="2"/>
  <c r="J298" i="2" s="1"/>
  <c r="C298" i="2"/>
  <c r="I297" i="2"/>
  <c r="J297" i="2" s="1"/>
  <c r="C297" i="2"/>
  <c r="I296" i="2"/>
  <c r="J296" i="2" s="1"/>
  <c r="C296" i="2"/>
  <c r="K295" i="2" a="1"/>
  <c r="K295" i="2" s="1"/>
  <c r="G284" i="2"/>
  <c r="H233" i="2"/>
  <c r="G292" i="2"/>
  <c r="F292" i="2"/>
  <c r="I291" i="2"/>
  <c r="J291" i="2" s="1"/>
  <c r="C291" i="2"/>
  <c r="I290" i="2"/>
  <c r="J290" i="2" s="1"/>
  <c r="C290" i="2"/>
  <c r="I289" i="2"/>
  <c r="J289" i="2" s="1"/>
  <c r="C289" i="2"/>
  <c r="I288" i="2"/>
  <c r="J288" i="2" s="1"/>
  <c r="C288" i="2"/>
  <c r="K287" i="2" a="1"/>
  <c r="K287" i="2" s="1"/>
  <c r="I282" i="2"/>
  <c r="J282" i="2" s="1"/>
  <c r="C283" i="2"/>
  <c r="I283" i="2"/>
  <c r="J283" i="2" s="1"/>
  <c r="Q149" i="2"/>
  <c r="K149" i="2" a="1"/>
  <c r="K149" i="2" s="1"/>
  <c r="H149" i="2"/>
  <c r="I149" i="2" s="1"/>
  <c r="Q148" i="2"/>
  <c r="K148" i="2" a="1"/>
  <c r="K148" i="2" s="1"/>
  <c r="H148" i="2"/>
  <c r="I148" i="2" s="1"/>
  <c r="H147" i="2"/>
  <c r="I147" i="2" s="1"/>
  <c r="J147" i="2" s="1"/>
  <c r="K147" i="2" a="1"/>
  <c r="K147" i="2" s="1"/>
  <c r="Q147" i="2"/>
  <c r="H146" i="2"/>
  <c r="I146" i="2" s="1"/>
  <c r="L146" i="2" s="1"/>
  <c r="Q146" i="2"/>
  <c r="K146" i="2" a="1"/>
  <c r="K146" i="2" s="1"/>
  <c r="Q145" i="2"/>
  <c r="K145" i="2" a="1"/>
  <c r="K145" i="2" s="1"/>
  <c r="H145" i="2"/>
  <c r="I145" i="2" s="1"/>
  <c r="V210" i="2"/>
  <c r="L210" i="2" a="1"/>
  <c r="L210" i="2" s="1"/>
  <c r="P211" i="2" s="1"/>
  <c r="I210" i="2"/>
  <c r="J210" i="2" s="1"/>
  <c r="R210" i="2" s="1"/>
  <c r="H144" i="2"/>
  <c r="I144" i="2" s="1"/>
  <c r="K144" i="2" a="1"/>
  <c r="K144" i="2" s="1"/>
  <c r="Q144" i="2"/>
  <c r="H143" i="2"/>
  <c r="I143" i="2" s="1"/>
  <c r="L143" i="2" s="1"/>
  <c r="Q143" i="2"/>
  <c r="K143" i="2" a="1"/>
  <c r="K143" i="2" s="1"/>
  <c r="J104" i="8"/>
  <c r="K104" i="8" s="1"/>
  <c r="I239" i="2"/>
  <c r="J239" i="2" s="1"/>
  <c r="K239" i="2" a="1"/>
  <c r="K239" i="2" s="1"/>
  <c r="C240" i="2"/>
  <c r="I240" i="2"/>
  <c r="J240" i="2" s="1"/>
  <c r="C241" i="2"/>
  <c r="I241" i="2"/>
  <c r="J241" i="2" s="1"/>
  <c r="C242" i="2"/>
  <c r="I242" i="2"/>
  <c r="J242" i="2" s="1"/>
  <c r="F244" i="2"/>
  <c r="G244" i="2"/>
  <c r="K244" i="2"/>
  <c r="H250" i="2"/>
  <c r="K247" i="2" a="1"/>
  <c r="K247" i="2" s="1"/>
  <c r="C248" i="2"/>
  <c r="I248" i="2"/>
  <c r="J248" i="2" s="1"/>
  <c r="C249" i="2"/>
  <c r="I249" i="2"/>
  <c r="J249" i="2" s="1"/>
  <c r="F250" i="2"/>
  <c r="G250" i="2"/>
  <c r="K250" i="2"/>
  <c r="C273" i="2"/>
  <c r="C274" i="2"/>
  <c r="I273" i="2"/>
  <c r="J273" i="2" s="1"/>
  <c r="I274" i="2"/>
  <c r="J274" i="2" s="1"/>
  <c r="Q142" i="2"/>
  <c r="K142" i="2" a="1"/>
  <c r="K142" i="2" s="1"/>
  <c r="H142" i="2"/>
  <c r="I142" i="2" s="1"/>
  <c r="Q141" i="2"/>
  <c r="K141" i="2" a="1"/>
  <c r="K141" i="2" s="1"/>
  <c r="I141" i="2"/>
  <c r="Q140" i="2"/>
  <c r="K140" i="2" a="1"/>
  <c r="K140" i="2" s="1"/>
  <c r="H140" i="2"/>
  <c r="I140" i="2" s="1"/>
  <c r="J103" i="8"/>
  <c r="H103" i="8"/>
  <c r="Q139" i="2"/>
  <c r="K139" i="2" a="1"/>
  <c r="K139" i="2" s="1"/>
  <c r="H139" i="2"/>
  <c r="I139" i="2" s="1"/>
  <c r="Q138" i="2"/>
  <c r="K138" i="2" a="1"/>
  <c r="K138" i="2" s="1"/>
  <c r="H138" i="2"/>
  <c r="I138" i="2" s="1"/>
  <c r="L138" i="2" s="1"/>
  <c r="J102" i="8"/>
  <c r="I280" i="2"/>
  <c r="J280" i="2" s="1"/>
  <c r="K278" i="2" a="1"/>
  <c r="K278" i="2" s="1"/>
  <c r="J100" i="8"/>
  <c r="J101" i="8"/>
  <c r="K101" i="8" s="1"/>
  <c r="J99" i="8"/>
  <c r="K99" i="8" s="1"/>
  <c r="I256" i="2"/>
  <c r="J256" i="2" s="1"/>
  <c r="I257" i="2"/>
  <c r="J257" i="2" s="1"/>
  <c r="I258" i="2"/>
  <c r="J258" i="2" s="1"/>
  <c r="C256" i="2"/>
  <c r="C257" i="2"/>
  <c r="C258" i="2"/>
  <c r="J98" i="8"/>
  <c r="K98" i="8" s="1"/>
  <c r="Q137" i="2"/>
  <c r="K137" i="2" a="1"/>
  <c r="K137" i="2" s="1"/>
  <c r="H137" i="2"/>
  <c r="I137" i="2" s="1"/>
  <c r="J97" i="8"/>
  <c r="K97" i="8" s="1"/>
  <c r="H136" i="2"/>
  <c r="I136" i="2" s="1"/>
  <c r="L136" i="2" s="1"/>
  <c r="Q136" i="2"/>
  <c r="K136" i="2" a="1"/>
  <c r="K136" i="2" s="1"/>
  <c r="Q135" i="2"/>
  <c r="K135" i="2" a="1"/>
  <c r="K135" i="2" s="1"/>
  <c r="I135" i="2"/>
  <c r="L135" i="2" s="1"/>
  <c r="I271" i="2"/>
  <c r="J271" i="2" s="1"/>
  <c r="I272" i="2"/>
  <c r="J272" i="2" s="1"/>
  <c r="C272" i="2"/>
  <c r="C271" i="2"/>
  <c r="K270" i="2" a="1"/>
  <c r="K270" i="2" s="1"/>
  <c r="K275" i="2" s="1"/>
  <c r="Q134" i="2"/>
  <c r="K134" i="2" a="1"/>
  <c r="K134" i="2" s="1"/>
  <c r="H134" i="2"/>
  <c r="I134" i="2" s="1"/>
  <c r="Q133" i="2"/>
  <c r="K133" i="2" a="1"/>
  <c r="K133" i="2" s="1"/>
  <c r="H133" i="2"/>
  <c r="I133" i="2" s="1"/>
  <c r="K262" i="2" a="1"/>
  <c r="K262" i="2" s="1"/>
  <c r="K267" i="2" s="1"/>
  <c r="C263" i="2"/>
  <c r="C264" i="2"/>
  <c r="I264" i="2"/>
  <c r="J264" i="2" s="1"/>
  <c r="Q132" i="2"/>
  <c r="K132" i="2" a="1"/>
  <c r="K132" i="2" s="1"/>
  <c r="H132" i="2"/>
  <c r="I132" i="2" s="1"/>
  <c r="J132" i="2" s="1"/>
  <c r="J96" i="8"/>
  <c r="K96" i="8" s="1"/>
  <c r="J95" i="8"/>
  <c r="K95" i="8" s="1"/>
  <c r="Q131" i="2"/>
  <c r="K131" i="2" a="1"/>
  <c r="K131" i="2" s="1"/>
  <c r="H131" i="2"/>
  <c r="I131" i="2" s="1"/>
  <c r="J94" i="8"/>
  <c r="K94" i="8" s="1"/>
  <c r="J93" i="8"/>
  <c r="K93" i="8" s="1"/>
  <c r="L93" i="8" s="1"/>
  <c r="J92" i="8"/>
  <c r="K92" i="8" s="1"/>
  <c r="K20" i="2"/>
  <c r="J91" i="8"/>
  <c r="K91" i="8" s="1"/>
  <c r="J90" i="8"/>
  <c r="K90" i="8" s="1"/>
  <c r="J89" i="8"/>
  <c r="K89" i="8" s="1"/>
  <c r="J187" i="2" l="1"/>
  <c r="M187" i="2" s="1"/>
  <c r="K220" i="2"/>
  <c r="Q220" i="2"/>
  <c r="P221" i="2"/>
  <c r="O221" i="2"/>
  <c r="M220" i="2"/>
  <c r="N220" i="2" s="1"/>
  <c r="L201" i="27"/>
  <c r="M201" i="27"/>
  <c r="J200" i="27"/>
  <c r="L200" i="27"/>
  <c r="J196" i="27"/>
  <c r="L196" i="27"/>
  <c r="L192" i="27"/>
  <c r="M192" i="27" s="1"/>
  <c r="J199" i="27"/>
  <c r="L199" i="27"/>
  <c r="J198" i="27"/>
  <c r="L198" i="27"/>
  <c r="M198" i="27" s="1"/>
  <c r="J197" i="27"/>
  <c r="L197" i="27"/>
  <c r="M196" i="27"/>
  <c r="J195" i="27"/>
  <c r="L195" i="27"/>
  <c r="L194" i="27"/>
  <c r="M194" i="27" s="1"/>
  <c r="J193" i="27"/>
  <c r="L193" i="27"/>
  <c r="M193" i="27" s="1"/>
  <c r="J191" i="27"/>
  <c r="L191" i="27"/>
  <c r="L190" i="27"/>
  <c r="M190" i="27" s="1"/>
  <c r="J189" i="27"/>
  <c r="L189" i="27"/>
  <c r="M189" i="27" s="1"/>
  <c r="J188" i="27"/>
  <c r="L188" i="27"/>
  <c r="M188" i="27" s="1"/>
  <c r="J187" i="27"/>
  <c r="L187" i="27"/>
  <c r="J186" i="27"/>
  <c r="L186" i="27"/>
  <c r="M186" i="27" s="1"/>
  <c r="J185" i="27"/>
  <c r="L185" i="27"/>
  <c r="J184" i="27"/>
  <c r="L184" i="27"/>
  <c r="Q111" i="8"/>
  <c r="L119" i="8"/>
  <c r="Q119" i="8"/>
  <c r="Q118" i="8"/>
  <c r="L118" i="8"/>
  <c r="L117" i="8"/>
  <c r="O117" i="8" s="1"/>
  <c r="K116" i="8"/>
  <c r="Q116" i="8" s="1"/>
  <c r="L116" i="8"/>
  <c r="J186" i="2"/>
  <c r="L186" i="2"/>
  <c r="K218" i="2"/>
  <c r="P219" i="2"/>
  <c r="O219" i="2"/>
  <c r="M218" i="2"/>
  <c r="K115" i="8"/>
  <c r="L115" i="8" s="1"/>
  <c r="L114" i="8"/>
  <c r="N114" i="8"/>
  <c r="O114" i="8" s="1"/>
  <c r="L113" i="8"/>
  <c r="N113" i="8"/>
  <c r="N112" i="8"/>
  <c r="L112" i="8"/>
  <c r="L185" i="2"/>
  <c r="M185" i="2" s="1"/>
  <c r="J183" i="27"/>
  <c r="M183" i="27" s="1"/>
  <c r="J182" i="27"/>
  <c r="L182" i="27"/>
  <c r="L181" i="27"/>
  <c r="M181" i="27" s="1"/>
  <c r="L180" i="27"/>
  <c r="M180" i="27" s="1"/>
  <c r="L179" i="27"/>
  <c r="M179" i="27" s="1"/>
  <c r="J178" i="27"/>
  <c r="L178" i="27"/>
  <c r="M178" i="27" s="1"/>
  <c r="L184" i="2"/>
  <c r="K4" i="2"/>
  <c r="J4" i="2" s="1"/>
  <c r="E185" i="8"/>
  <c r="L110" i="8"/>
  <c r="O110" i="8" s="1"/>
  <c r="N5" i="2"/>
  <c r="J173" i="27"/>
  <c r="L173" i="27"/>
  <c r="L172" i="27"/>
  <c r="M172" i="27" s="1"/>
  <c r="J171" i="27"/>
  <c r="L171" i="27"/>
  <c r="L170" i="27"/>
  <c r="M170" i="27" s="1"/>
  <c r="J169" i="27"/>
  <c r="L169" i="27"/>
  <c r="J168" i="27"/>
  <c r="L168" i="27"/>
  <c r="L167" i="27"/>
  <c r="J167" i="27"/>
  <c r="L166" i="27"/>
  <c r="M166" i="27" s="1"/>
  <c r="L165" i="27"/>
  <c r="M165" i="27" s="1"/>
  <c r="J164" i="27"/>
  <c r="L164" i="27"/>
  <c r="J163" i="27"/>
  <c r="L163" i="27"/>
  <c r="J162" i="27"/>
  <c r="L162" i="27"/>
  <c r="J161" i="27"/>
  <c r="L161" i="27"/>
  <c r="L160" i="27"/>
  <c r="M160" i="27" s="1"/>
  <c r="J159" i="27"/>
  <c r="L159" i="27"/>
  <c r="J158" i="27"/>
  <c r="L158" i="27"/>
  <c r="J157" i="27"/>
  <c r="L157" i="27"/>
  <c r="L156" i="27"/>
  <c r="J156" i="27"/>
  <c r="I155" i="27"/>
  <c r="L155" i="27" s="1"/>
  <c r="K6" i="27"/>
  <c r="L177" i="27"/>
  <c r="J177" i="27"/>
  <c r="L176" i="27"/>
  <c r="M176" i="27" s="1"/>
  <c r="J175" i="27"/>
  <c r="L175" i="27"/>
  <c r="L174" i="27"/>
  <c r="J174" i="27"/>
  <c r="J184" i="2"/>
  <c r="L154" i="27"/>
  <c r="J154" i="27"/>
  <c r="J153" i="27"/>
  <c r="L153" i="27"/>
  <c r="J152" i="27"/>
  <c r="L152" i="27"/>
  <c r="L151" i="27"/>
  <c r="J151" i="27"/>
  <c r="L150" i="27"/>
  <c r="J150" i="27"/>
  <c r="J149" i="27"/>
  <c r="M149" i="27" s="1"/>
  <c r="J148" i="27"/>
  <c r="L148" i="27"/>
  <c r="L147" i="27"/>
  <c r="J147" i="27"/>
  <c r="J146" i="27"/>
  <c r="L146" i="27"/>
  <c r="J145" i="27"/>
  <c r="M145" i="27" s="1"/>
  <c r="J144" i="27"/>
  <c r="M144" i="27" s="1"/>
  <c r="L143" i="27"/>
  <c r="J143" i="27"/>
  <c r="L142" i="27"/>
  <c r="J142" i="27"/>
  <c r="J141" i="27"/>
  <c r="L141" i="27"/>
  <c r="L140" i="27"/>
  <c r="J140" i="27"/>
  <c r="L139" i="27"/>
  <c r="J139" i="27"/>
  <c r="L138" i="27"/>
  <c r="J138" i="27"/>
  <c r="J137" i="27"/>
  <c r="L137" i="27"/>
  <c r="J136" i="27"/>
  <c r="L136" i="27"/>
  <c r="J135" i="27"/>
  <c r="L135" i="27"/>
  <c r="J134" i="27"/>
  <c r="L134" i="27"/>
  <c r="J133" i="27"/>
  <c r="L133" i="27"/>
  <c r="J132" i="27"/>
  <c r="L132" i="27"/>
  <c r="J131" i="27"/>
  <c r="L131" i="27"/>
  <c r="Q109" i="8"/>
  <c r="E184" i="8" s="1"/>
  <c r="L109" i="8"/>
  <c r="J183" i="2"/>
  <c r="L182" i="2"/>
  <c r="M182" i="2" s="1"/>
  <c r="J130" i="27"/>
  <c r="L130" i="27"/>
  <c r="J129" i="27"/>
  <c r="L129" i="27"/>
  <c r="J128" i="27"/>
  <c r="L128" i="27"/>
  <c r="J127" i="27"/>
  <c r="L127" i="27"/>
  <c r="J126" i="27"/>
  <c r="L126" i="27"/>
  <c r="J125" i="27"/>
  <c r="L125" i="27"/>
  <c r="L124" i="27"/>
  <c r="M124" i="27" s="1"/>
  <c r="J123" i="27"/>
  <c r="L123" i="27"/>
  <c r="J122" i="27"/>
  <c r="L122" i="27"/>
  <c r="J121" i="27"/>
  <c r="L121" i="27"/>
  <c r="L120" i="27"/>
  <c r="M120" i="27" s="1"/>
  <c r="J119" i="27"/>
  <c r="L119" i="27"/>
  <c r="J118" i="27"/>
  <c r="L118" i="27"/>
  <c r="J117" i="27"/>
  <c r="L117" i="27"/>
  <c r="L116" i="27"/>
  <c r="M116" i="27" s="1"/>
  <c r="J115" i="27"/>
  <c r="L115" i="27"/>
  <c r="J114" i="27"/>
  <c r="L114" i="27"/>
  <c r="J113" i="27"/>
  <c r="L113" i="27"/>
  <c r="J112" i="27"/>
  <c r="L112" i="27"/>
  <c r="J111" i="27"/>
  <c r="L111" i="27"/>
  <c r="L110" i="27"/>
  <c r="J110" i="27"/>
  <c r="J109" i="27"/>
  <c r="L109" i="27"/>
  <c r="J108" i="27"/>
  <c r="L108" i="27"/>
  <c r="J107" i="27"/>
  <c r="L107" i="27"/>
  <c r="J106" i="27"/>
  <c r="L106" i="27"/>
  <c r="J105" i="27"/>
  <c r="L105" i="27"/>
  <c r="J104" i="27"/>
  <c r="L104" i="27"/>
  <c r="J103" i="27"/>
  <c r="L103" i="27"/>
  <c r="J102" i="27"/>
  <c r="L102" i="27"/>
  <c r="L101" i="27"/>
  <c r="J101" i="27"/>
  <c r="J100" i="27"/>
  <c r="L100" i="27"/>
  <c r="J99" i="27"/>
  <c r="L99" i="27"/>
  <c r="J98" i="27"/>
  <c r="M98" i="27" s="1"/>
  <c r="J97" i="27"/>
  <c r="L97" i="27"/>
  <c r="N7" i="27"/>
  <c r="J96" i="27"/>
  <c r="L96" i="27"/>
  <c r="J95" i="27"/>
  <c r="L95" i="27"/>
  <c r="J94" i="27"/>
  <c r="L94" i="27"/>
  <c r="J93" i="27"/>
  <c r="L93" i="27"/>
  <c r="L92" i="27"/>
  <c r="M92" i="27" s="1"/>
  <c r="J91" i="27"/>
  <c r="L91" i="27"/>
  <c r="J90" i="27"/>
  <c r="L90" i="27"/>
  <c r="L89" i="27"/>
  <c r="M89" i="27" s="1"/>
  <c r="J88" i="27"/>
  <c r="L88" i="27"/>
  <c r="J87" i="27"/>
  <c r="L87" i="27"/>
  <c r="J86" i="27"/>
  <c r="L86" i="27"/>
  <c r="J85" i="27"/>
  <c r="L85" i="27"/>
  <c r="L84" i="27"/>
  <c r="M84" i="27" s="1"/>
  <c r="L83" i="27"/>
  <c r="M83" i="27" s="1"/>
  <c r="J82" i="27"/>
  <c r="L82" i="27"/>
  <c r="J181" i="2"/>
  <c r="L181" i="2"/>
  <c r="L180" i="2"/>
  <c r="M180" i="2" s="1"/>
  <c r="J179" i="2"/>
  <c r="M179" i="2" s="1"/>
  <c r="L81" i="27"/>
  <c r="J81" i="27"/>
  <c r="I75" i="27"/>
  <c r="J75" i="27" s="1"/>
  <c r="L79" i="27"/>
  <c r="J79" i="27"/>
  <c r="L78" i="27"/>
  <c r="M78" i="27" s="1"/>
  <c r="J80" i="27"/>
  <c r="M80" i="27" s="1"/>
  <c r="J77" i="27"/>
  <c r="L77" i="27"/>
  <c r="J76" i="27"/>
  <c r="L76" i="27"/>
  <c r="I73" i="27"/>
  <c r="L73" i="27" s="1"/>
  <c r="J74" i="27"/>
  <c r="L74" i="27"/>
  <c r="J72" i="27"/>
  <c r="M72" i="27" s="1"/>
  <c r="L71" i="27"/>
  <c r="J71" i="27"/>
  <c r="J69" i="27"/>
  <c r="M69" i="27" s="1"/>
  <c r="J68" i="27"/>
  <c r="M68" i="27" s="1"/>
  <c r="J70" i="27"/>
  <c r="L70" i="27"/>
  <c r="J67" i="27"/>
  <c r="L67" i="27"/>
  <c r="L66" i="27"/>
  <c r="J66" i="27"/>
  <c r="V233" i="2"/>
  <c r="L177" i="2"/>
  <c r="M177" i="2" s="1"/>
  <c r="L178" i="2"/>
  <c r="J178" i="2"/>
  <c r="K108" i="8"/>
  <c r="Q108" i="8" s="1"/>
  <c r="E183" i="8" s="1"/>
  <c r="L176" i="2"/>
  <c r="J176" i="2"/>
  <c r="J175" i="2"/>
  <c r="M175" i="2" s="1"/>
  <c r="L65" i="27"/>
  <c r="J65" i="27"/>
  <c r="L63" i="27"/>
  <c r="M63" i="27" s="1"/>
  <c r="J64" i="27"/>
  <c r="M64" i="27" s="1"/>
  <c r="J62" i="27"/>
  <c r="L62" i="27"/>
  <c r="J61" i="27"/>
  <c r="M61" i="27" s="1"/>
  <c r="J60" i="27"/>
  <c r="L60" i="27"/>
  <c r="J174" i="2"/>
  <c r="M174" i="2" s="1"/>
  <c r="L173" i="2"/>
  <c r="M173" i="2" s="1"/>
  <c r="F284" i="2"/>
  <c r="J58" i="27"/>
  <c r="L58" i="27"/>
  <c r="E6" i="28"/>
  <c r="N4" i="28" s="1"/>
  <c r="M4" i="28" s="1"/>
  <c r="J59" i="27"/>
  <c r="M59" i="27" s="1"/>
  <c r="L57" i="27"/>
  <c r="J57" i="27"/>
  <c r="L56" i="27"/>
  <c r="J56" i="27"/>
  <c r="J55" i="27"/>
  <c r="L55" i="27"/>
  <c r="J172" i="2"/>
  <c r="L172" i="2"/>
  <c r="J54" i="27"/>
  <c r="L54" i="27"/>
  <c r="L53" i="27"/>
  <c r="M53" i="27" s="1"/>
  <c r="L171" i="2"/>
  <c r="J171" i="2"/>
  <c r="I170" i="2"/>
  <c r="J170" i="2" s="1"/>
  <c r="I279" i="2"/>
  <c r="J279" i="2" s="1"/>
  <c r="C280" i="2"/>
  <c r="J52" i="27"/>
  <c r="L52" i="27"/>
  <c r="J50" i="27"/>
  <c r="L50" i="27"/>
  <c r="J51" i="27"/>
  <c r="L51" i="27"/>
  <c r="L49" i="27"/>
  <c r="J49" i="27"/>
  <c r="J48" i="27"/>
  <c r="M48" i="27" s="1"/>
  <c r="N107" i="8"/>
  <c r="L107" i="8"/>
  <c r="N106" i="8"/>
  <c r="L106" i="8"/>
  <c r="K105" i="8"/>
  <c r="N105" i="8" s="1"/>
  <c r="I44" i="27"/>
  <c r="J44" i="27" s="1"/>
  <c r="J46" i="27"/>
  <c r="L46" i="27"/>
  <c r="J47" i="27"/>
  <c r="L47" i="27"/>
  <c r="J45" i="27"/>
  <c r="M45" i="27" s="1"/>
  <c r="J43" i="27"/>
  <c r="L43" i="27"/>
  <c r="J42" i="27"/>
  <c r="L42" i="27"/>
  <c r="L41" i="27"/>
  <c r="M41" i="27" s="1"/>
  <c r="H212" i="27"/>
  <c r="J40" i="27"/>
  <c r="L40" i="27"/>
  <c r="J39" i="27"/>
  <c r="L39" i="27"/>
  <c r="I38" i="27"/>
  <c r="L37" i="27"/>
  <c r="J25" i="27"/>
  <c r="M25" i="27" s="1"/>
  <c r="J35" i="27"/>
  <c r="L35" i="27"/>
  <c r="J36" i="27"/>
  <c r="L36" i="27"/>
  <c r="L26" i="27"/>
  <c r="J26" i="27"/>
  <c r="L34" i="27"/>
  <c r="M34" i="27" s="1"/>
  <c r="L33" i="27"/>
  <c r="M33" i="27" s="1"/>
  <c r="L32" i="27"/>
  <c r="M32" i="27" s="1"/>
  <c r="L31" i="27"/>
  <c r="M31" i="27" s="1"/>
  <c r="J30" i="27"/>
  <c r="L30" i="27"/>
  <c r="J29" i="27"/>
  <c r="L29" i="27"/>
  <c r="L28" i="27"/>
  <c r="J28" i="27"/>
  <c r="J27" i="27"/>
  <c r="M27" i="27" s="1"/>
  <c r="L24" i="27"/>
  <c r="M24" i="27" s="1"/>
  <c r="L23" i="27"/>
  <c r="J23" i="27"/>
  <c r="L22" i="27"/>
  <c r="L21" i="27"/>
  <c r="J20" i="27"/>
  <c r="L20" i="27"/>
  <c r="L11" i="27" s="1"/>
  <c r="T15" i="28" s="1"/>
  <c r="T17" i="28" s="1"/>
  <c r="H230" i="27"/>
  <c r="I230" i="27"/>
  <c r="P217" i="2"/>
  <c r="L228" i="2"/>
  <c r="K228" i="2" s="1"/>
  <c r="L169" i="2"/>
  <c r="J169" i="2"/>
  <c r="R215" i="2"/>
  <c r="P215" i="2"/>
  <c r="M214" i="2"/>
  <c r="O215" i="2"/>
  <c r="K214" i="2"/>
  <c r="R214" i="2"/>
  <c r="L168" i="2"/>
  <c r="J168" i="2"/>
  <c r="C281" i="2"/>
  <c r="J216" i="2"/>
  <c r="K216" i="2" s="1"/>
  <c r="J167" i="2"/>
  <c r="M167" i="2" s="1"/>
  <c r="L166" i="2"/>
  <c r="J166" i="2"/>
  <c r="L165" i="2"/>
  <c r="J165" i="2"/>
  <c r="I160" i="2"/>
  <c r="J160" i="2" s="1"/>
  <c r="L164" i="2"/>
  <c r="L163" i="2"/>
  <c r="M163" i="2" s="1"/>
  <c r="L162" i="2"/>
  <c r="J162" i="2"/>
  <c r="J161" i="2"/>
  <c r="L159" i="2"/>
  <c r="J159" i="2"/>
  <c r="J158" i="2"/>
  <c r="L158" i="2"/>
  <c r="I281" i="2"/>
  <c r="J281" i="2" s="1"/>
  <c r="C282" i="2"/>
  <c r="L157" i="2"/>
  <c r="J157" i="2"/>
  <c r="L156" i="2"/>
  <c r="J156" i="2"/>
  <c r="L155" i="2"/>
  <c r="J155" i="2"/>
  <c r="L154" i="2"/>
  <c r="J154" i="2"/>
  <c r="L153" i="2"/>
  <c r="J153" i="2"/>
  <c r="L152" i="2"/>
  <c r="J152" i="2"/>
  <c r="H267" i="2"/>
  <c r="I267" i="2" s="1"/>
  <c r="I300" i="2"/>
  <c r="J300" i="2" s="1"/>
  <c r="I295" i="2"/>
  <c r="J295" i="2" s="1"/>
  <c r="J151" i="2"/>
  <c r="L151" i="2"/>
  <c r="L150" i="2"/>
  <c r="J150" i="2"/>
  <c r="K300" i="2"/>
  <c r="K296" i="2"/>
  <c r="I287" i="2"/>
  <c r="J287" i="2" s="1"/>
  <c r="H284" i="2"/>
  <c r="I292" i="2"/>
  <c r="J292" i="2" s="1"/>
  <c r="K292" i="2"/>
  <c r="K288" i="2"/>
  <c r="L149" i="2"/>
  <c r="J149" i="2"/>
  <c r="L148" i="2"/>
  <c r="J148" i="2"/>
  <c r="H275" i="2"/>
  <c r="I212" i="2" s="1"/>
  <c r="J212" i="2" s="1"/>
  <c r="K212" i="2" s="1"/>
  <c r="E18" i="2" s="1"/>
  <c r="L147" i="2"/>
  <c r="M147" i="2" s="1"/>
  <c r="J146" i="2"/>
  <c r="M146" i="2" s="1"/>
  <c r="L145" i="2"/>
  <c r="J145" i="2"/>
  <c r="O211" i="2"/>
  <c r="R211" i="2"/>
  <c r="M210" i="2"/>
  <c r="K210" i="2"/>
  <c r="J144" i="2"/>
  <c r="L144" i="2"/>
  <c r="H244" i="2"/>
  <c r="I244" i="2" s="1"/>
  <c r="J143" i="2"/>
  <c r="M143" i="2" s="1"/>
  <c r="I250" i="2"/>
  <c r="L250" i="2" s="1"/>
  <c r="N104" i="8"/>
  <c r="E181" i="8" s="1"/>
  <c r="L104" i="8"/>
  <c r="L239" i="2"/>
  <c r="M239" i="2" s="1"/>
  <c r="K240" i="2"/>
  <c r="I247" i="2"/>
  <c r="J247" i="2" s="1"/>
  <c r="K248" i="2"/>
  <c r="L142" i="2"/>
  <c r="J142" i="2"/>
  <c r="L141" i="2"/>
  <c r="J141" i="2"/>
  <c r="L140" i="2"/>
  <c r="J140" i="2"/>
  <c r="K103" i="8"/>
  <c r="L103" i="8" s="1"/>
  <c r="L139" i="2"/>
  <c r="J139" i="2"/>
  <c r="I278" i="2"/>
  <c r="J278" i="2" s="1"/>
  <c r="J138" i="2"/>
  <c r="M138" i="2" s="1"/>
  <c r="K284" i="2"/>
  <c r="K279" i="2"/>
  <c r="K102" i="8"/>
  <c r="Q102" i="8" s="1"/>
  <c r="Q101" i="8"/>
  <c r="L101" i="8"/>
  <c r="K100" i="8"/>
  <c r="N100" i="8" s="1"/>
  <c r="N99" i="8"/>
  <c r="E178" i="8" s="1"/>
  <c r="L99" i="8"/>
  <c r="N98" i="8"/>
  <c r="E177" i="8" s="1"/>
  <c r="L98" i="8"/>
  <c r="L137" i="2"/>
  <c r="J137" i="2"/>
  <c r="N97" i="8"/>
  <c r="E176" i="8" s="1"/>
  <c r="L97" i="8"/>
  <c r="J136" i="2"/>
  <c r="M136" i="2" s="1"/>
  <c r="J135" i="2"/>
  <c r="M135" i="2" s="1"/>
  <c r="K271" i="2"/>
  <c r="L270" i="2"/>
  <c r="M270" i="2" s="1"/>
  <c r="L134" i="2"/>
  <c r="J134" i="2"/>
  <c r="L133" i="2"/>
  <c r="J133" i="2"/>
  <c r="K263" i="2"/>
  <c r="L262" i="2"/>
  <c r="M262" i="2" s="1"/>
  <c r="L132" i="2"/>
  <c r="M132" i="2" s="1"/>
  <c r="N96" i="8"/>
  <c r="L96" i="8"/>
  <c r="N95" i="8"/>
  <c r="L95" i="8"/>
  <c r="L131" i="2"/>
  <c r="J131" i="2"/>
  <c r="L94" i="8"/>
  <c r="N94" i="8"/>
  <c r="N93" i="8"/>
  <c r="N92" i="8"/>
  <c r="E173" i="8" s="1"/>
  <c r="L92" i="8"/>
  <c r="N91" i="8"/>
  <c r="L91" i="8"/>
  <c r="N90" i="8"/>
  <c r="L90" i="8"/>
  <c r="N89" i="8"/>
  <c r="L89" i="8"/>
  <c r="J88" i="8"/>
  <c r="K88" i="8" s="1"/>
  <c r="Q130" i="2"/>
  <c r="K130" i="2" a="1"/>
  <c r="K130" i="2" s="1"/>
  <c r="I130" i="2"/>
  <c r="L130" i="2" s="1"/>
  <c r="Q129" i="2"/>
  <c r="K129" i="2" a="1"/>
  <c r="K129" i="2" s="1"/>
  <c r="H129" i="2"/>
  <c r="I129" i="2" s="1"/>
  <c r="J87" i="8"/>
  <c r="K87" i="8" s="1"/>
  <c r="J86" i="8"/>
  <c r="K86" i="8" s="1"/>
  <c r="Q128" i="2"/>
  <c r="K128" i="2" a="1"/>
  <c r="K128" i="2" s="1"/>
  <c r="H128" i="2"/>
  <c r="I128" i="2" s="1"/>
  <c r="N127" i="2"/>
  <c r="H127" i="2"/>
  <c r="F127" i="2"/>
  <c r="Q127" i="2"/>
  <c r="K127" i="2" a="1"/>
  <c r="K127" i="2" s="1"/>
  <c r="J85" i="8"/>
  <c r="K85" i="8" s="1"/>
  <c r="H126" i="2"/>
  <c r="I126" i="2" s="1"/>
  <c r="L126" i="2" s="1"/>
  <c r="Q126" i="2"/>
  <c r="K126" i="2" a="1"/>
  <c r="K126" i="2" s="1"/>
  <c r="J84" i="8"/>
  <c r="K84" i="8" s="1"/>
  <c r="J83" i="8"/>
  <c r="K83" i="8" s="1"/>
  <c r="J82" i="8"/>
  <c r="K82" i="8" s="1"/>
  <c r="J81" i="8"/>
  <c r="K81" i="8" s="1"/>
  <c r="J80" i="8"/>
  <c r="K80" i="8" s="1"/>
  <c r="Q125" i="2"/>
  <c r="K125" i="2" a="1"/>
  <c r="K125" i="2" s="1"/>
  <c r="I125" i="2"/>
  <c r="L125" i="2" s="1"/>
  <c r="I124" i="2"/>
  <c r="L124" i="2" s="1"/>
  <c r="Q124" i="2"/>
  <c r="K124" i="2" a="1"/>
  <c r="K124" i="2" s="1"/>
  <c r="K259" i="2"/>
  <c r="G259" i="2"/>
  <c r="F259" i="2"/>
  <c r="I255" i="2"/>
  <c r="J255" i="2" s="1"/>
  <c r="C255" i="2"/>
  <c r="I254" i="2"/>
  <c r="J254" i="2" s="1"/>
  <c r="C254" i="2"/>
  <c r="K253" i="2" a="1"/>
  <c r="K253" i="2" s="1"/>
  <c r="H253" i="2"/>
  <c r="I253" i="2" s="1"/>
  <c r="J253" i="2" s="1"/>
  <c r="J79" i="8"/>
  <c r="K79" i="8" s="1"/>
  <c r="J78" i="8"/>
  <c r="K78" i="8" s="1"/>
  <c r="Q123" i="2"/>
  <c r="K123" i="2" a="1"/>
  <c r="K123" i="2" s="1"/>
  <c r="I123" i="2"/>
  <c r="L123" i="2" s="1"/>
  <c r="J77" i="8"/>
  <c r="K77" i="8" s="1"/>
  <c r="J76" i="8"/>
  <c r="K76" i="8" s="1"/>
  <c r="J75" i="8"/>
  <c r="K75" i="8" s="1"/>
  <c r="J74" i="8"/>
  <c r="K74" i="8" s="1"/>
  <c r="J73" i="8"/>
  <c r="K73" i="8" s="1"/>
  <c r="F12" i="24" a="1"/>
  <c r="F12" i="24" s="1"/>
  <c r="G12" i="24" a="1"/>
  <c r="G12" i="24" s="1"/>
  <c r="T12" i="24" s="1"/>
  <c r="H12" i="24" a="1"/>
  <c r="H12" i="24" s="1"/>
  <c r="I12" i="24" a="1"/>
  <c r="I12" i="24" s="1"/>
  <c r="N12" i="24"/>
  <c r="P12" i="24"/>
  <c r="J72" i="8"/>
  <c r="K72" i="8" s="1"/>
  <c r="J71" i="8"/>
  <c r="K71" i="8" s="1"/>
  <c r="J70" i="8"/>
  <c r="K70" i="8" s="1"/>
  <c r="J69" i="8"/>
  <c r="K69" i="8" s="1"/>
  <c r="J68" i="8"/>
  <c r="K68" i="8" s="1"/>
  <c r="N68" i="8" s="1"/>
  <c r="Q122" i="2"/>
  <c r="K122" i="2" a="1"/>
  <c r="K122" i="2" s="1"/>
  <c r="I122" i="2"/>
  <c r="L122" i="2" s="1"/>
  <c r="Q121" i="2"/>
  <c r="K121" i="2" a="1"/>
  <c r="K121" i="2" s="1"/>
  <c r="H121" i="2"/>
  <c r="I121" i="2" s="1"/>
  <c r="I120" i="2"/>
  <c r="J120" i="2" s="1"/>
  <c r="K120" i="2" a="1"/>
  <c r="K120" i="2" s="1"/>
  <c r="Q120" i="2"/>
  <c r="I119" i="2"/>
  <c r="K119" i="2" a="1"/>
  <c r="K119" i="2" s="1"/>
  <c r="Q119" i="2"/>
  <c r="H118" i="2"/>
  <c r="I118" i="2" s="1"/>
  <c r="J118" i="2" s="1"/>
  <c r="K118" i="2" a="1"/>
  <c r="K118" i="2" s="1"/>
  <c r="Q118" i="2"/>
  <c r="F42" i="24"/>
  <c r="F43" i="24"/>
  <c r="F41" i="24"/>
  <c r="F44" i="24"/>
  <c r="F46" i="24" s="1"/>
  <c r="N116" i="2"/>
  <c r="H117" i="2"/>
  <c r="I117" i="2" s="1"/>
  <c r="J117" i="2" s="1"/>
  <c r="K117" i="2" a="1"/>
  <c r="K117" i="2" s="1"/>
  <c r="Q117" i="2"/>
  <c r="F326" i="2"/>
  <c r="K116" i="2" a="1"/>
  <c r="K116" i="2" s="1"/>
  <c r="Q116" i="2"/>
  <c r="Q115" i="2"/>
  <c r="K115" i="2" a="1"/>
  <c r="K115" i="2" s="1"/>
  <c r="H115" i="2"/>
  <c r="I115" i="2" s="1"/>
  <c r="J115" i="2" s="1"/>
  <c r="E12" i="2"/>
  <c r="Q114" i="2"/>
  <c r="K114" i="2" a="1"/>
  <c r="K114" i="2" s="1"/>
  <c r="I114" i="2"/>
  <c r="Q113" i="2"/>
  <c r="K113" i="2" a="1"/>
  <c r="K113" i="2" s="1"/>
  <c r="H113" i="2"/>
  <c r="I113" i="2" s="1"/>
  <c r="H112" i="2"/>
  <c r="I112" i="2" s="1"/>
  <c r="J112" i="2" s="1"/>
  <c r="K112" i="2" a="1"/>
  <c r="K112" i="2" s="1"/>
  <c r="Q112" i="2"/>
  <c r="J67" i="8"/>
  <c r="K67" i="8" s="1"/>
  <c r="Q67" i="8" s="1"/>
  <c r="Q111" i="2"/>
  <c r="K111" i="2" a="1"/>
  <c r="K111" i="2" s="1"/>
  <c r="H111" i="2"/>
  <c r="I111" i="2" s="1"/>
  <c r="Q110" i="2"/>
  <c r="I35" i="13"/>
  <c r="C5" i="25"/>
  <c r="H109" i="2"/>
  <c r="I109" i="2" s="1"/>
  <c r="Q109" i="2"/>
  <c r="K109" i="2" a="1"/>
  <c r="K109" i="2" s="1"/>
  <c r="I108" i="2"/>
  <c r="Q108" i="2"/>
  <c r="K108" i="2" a="1"/>
  <c r="K108" i="2" s="1"/>
  <c r="Q107" i="2"/>
  <c r="K107" i="2" a="1"/>
  <c r="K107" i="2" s="1"/>
  <c r="H107" i="2"/>
  <c r="I107" i="2" s="1"/>
  <c r="J66" i="8"/>
  <c r="K66" i="8" s="1"/>
  <c r="J65" i="8"/>
  <c r="K65" i="8" s="1"/>
  <c r="M184" i="2" l="1"/>
  <c r="N218" i="2"/>
  <c r="R221" i="2"/>
  <c r="R220" i="2"/>
  <c r="Q216" i="2"/>
  <c r="R11" i="27"/>
  <c r="Z15" i="28" s="1"/>
  <c r="M200" i="27"/>
  <c r="M199" i="27"/>
  <c r="M185" i="27"/>
  <c r="M187" i="27"/>
  <c r="M195" i="27"/>
  <c r="M182" i="27"/>
  <c r="M197" i="27"/>
  <c r="M191" i="27"/>
  <c r="M184" i="27"/>
  <c r="O113" i="8"/>
  <c r="N115" i="8"/>
  <c r="R119" i="8"/>
  <c r="Q218" i="2"/>
  <c r="R218" i="2" s="1"/>
  <c r="R111" i="8"/>
  <c r="E186" i="8"/>
  <c r="AE9" i="2" s="1"/>
  <c r="R118" i="8"/>
  <c r="R116" i="8"/>
  <c r="M186" i="2"/>
  <c r="O115" i="8"/>
  <c r="O112" i="8"/>
  <c r="V13" i="28"/>
  <c r="V19" i="28" s="1"/>
  <c r="E24" i="2"/>
  <c r="Z19" i="28"/>
  <c r="M173" i="27"/>
  <c r="M169" i="27"/>
  <c r="M171" i="27"/>
  <c r="M168" i="27"/>
  <c r="M167" i="27"/>
  <c r="M162" i="27"/>
  <c r="M163" i="27"/>
  <c r="M164" i="27"/>
  <c r="M161" i="27"/>
  <c r="M159" i="27"/>
  <c r="M105" i="27"/>
  <c r="M152" i="27"/>
  <c r="M95" i="27"/>
  <c r="M158" i="27"/>
  <c r="M157" i="27"/>
  <c r="M156" i="27"/>
  <c r="M153" i="27"/>
  <c r="J155" i="27"/>
  <c r="M155" i="27" s="1"/>
  <c r="M99" i="27"/>
  <c r="M106" i="27"/>
  <c r="M107" i="27"/>
  <c r="X16" i="28"/>
  <c r="X19" i="28" s="1"/>
  <c r="M126" i="27"/>
  <c r="M113" i="27"/>
  <c r="M137" i="27"/>
  <c r="M141" i="27"/>
  <c r="M148" i="27"/>
  <c r="M115" i="27"/>
  <c r="M136" i="27"/>
  <c r="M104" i="27"/>
  <c r="M112" i="27"/>
  <c r="M125" i="27"/>
  <c r="M129" i="27"/>
  <c r="M97" i="27"/>
  <c r="M122" i="27"/>
  <c r="M134" i="27"/>
  <c r="M175" i="27"/>
  <c r="M177" i="27"/>
  <c r="M174" i="27"/>
  <c r="D9" i="2"/>
  <c r="E23" i="2"/>
  <c r="E17" i="2"/>
  <c r="M119" i="27"/>
  <c r="M117" i="27"/>
  <c r="M154" i="27"/>
  <c r="M151" i="27"/>
  <c r="M150" i="27"/>
  <c r="M147" i="27"/>
  <c r="M146" i="27"/>
  <c r="M123" i="27"/>
  <c r="M88" i="27"/>
  <c r="M133" i="27"/>
  <c r="M82" i="27"/>
  <c r="M108" i="27"/>
  <c r="M127" i="27"/>
  <c r="M132" i="27"/>
  <c r="M114" i="27"/>
  <c r="M143" i="27"/>
  <c r="M142" i="27"/>
  <c r="M140" i="27"/>
  <c r="M139" i="27"/>
  <c r="M138" i="27"/>
  <c r="M135" i="27"/>
  <c r="M131" i="27"/>
  <c r="R109" i="8"/>
  <c r="M183" i="2"/>
  <c r="I42" i="24"/>
  <c r="D10" i="2"/>
  <c r="M181" i="2"/>
  <c r="M130" i="27"/>
  <c r="M128" i="27"/>
  <c r="M118" i="27"/>
  <c r="M121" i="27"/>
  <c r="M103" i="27"/>
  <c r="M109" i="27"/>
  <c r="M111" i="27"/>
  <c r="M110" i="27"/>
  <c r="M76" i="27"/>
  <c r="M102" i="27"/>
  <c r="M100" i="27"/>
  <c r="M101" i="27"/>
  <c r="M87" i="27"/>
  <c r="M94" i="27"/>
  <c r="M90" i="27"/>
  <c r="M96" i="27"/>
  <c r="M93" i="27"/>
  <c r="M91" i="27"/>
  <c r="M86" i="27"/>
  <c r="M85" i="27"/>
  <c r="M77" i="27"/>
  <c r="L170" i="2"/>
  <c r="M170" i="2" s="1"/>
  <c r="L75" i="27"/>
  <c r="M75" i="27" s="1"/>
  <c r="M81" i="27"/>
  <c r="J73" i="27"/>
  <c r="M73" i="27" s="1"/>
  <c r="M74" i="27"/>
  <c r="M79" i="27"/>
  <c r="M67" i="27"/>
  <c r="M70" i="27"/>
  <c r="M71" i="27"/>
  <c r="M66" i="27"/>
  <c r="M55" i="27"/>
  <c r="M62" i="27"/>
  <c r="L108" i="8"/>
  <c r="R108" i="8" s="1"/>
  <c r="E182" i="8"/>
  <c r="M178" i="2"/>
  <c r="M176" i="2"/>
  <c r="M65" i="27"/>
  <c r="M58" i="27"/>
  <c r="M60" i="27"/>
  <c r="M172" i="2"/>
  <c r="M52" i="27"/>
  <c r="M57" i="27"/>
  <c r="M56" i="27"/>
  <c r="G7" i="27"/>
  <c r="H5" i="28" s="1"/>
  <c r="M54" i="27"/>
  <c r="M51" i="27"/>
  <c r="M171" i="2"/>
  <c r="AC9" i="2"/>
  <c r="X12" i="28" s="1"/>
  <c r="X14" i="28" s="1"/>
  <c r="Q212" i="2"/>
  <c r="R212" i="2" s="1"/>
  <c r="M212" i="2"/>
  <c r="G23" i="2" s="1"/>
  <c r="M50" i="27"/>
  <c r="M49" i="27"/>
  <c r="O107" i="8"/>
  <c r="O106" i="8"/>
  <c r="L105" i="8"/>
  <c r="O105" i="8" s="1"/>
  <c r="M22" i="27"/>
  <c r="O11" i="27"/>
  <c r="W15" i="28" s="1"/>
  <c r="W17" i="28" s="1"/>
  <c r="M21" i="27"/>
  <c r="P11" i="27" a="1"/>
  <c r="P11" i="27" s="1"/>
  <c r="X15" i="28" s="1"/>
  <c r="M43" i="27"/>
  <c r="M47" i="27"/>
  <c r="L44" i="27"/>
  <c r="M44" i="27" s="1"/>
  <c r="M29" i="27"/>
  <c r="M36" i="27"/>
  <c r="M42" i="27"/>
  <c r="M46" i="27"/>
  <c r="M35" i="27"/>
  <c r="M39" i="27"/>
  <c r="M40" i="27"/>
  <c r="L38" i="27"/>
  <c r="Y16" i="28" s="1"/>
  <c r="J38" i="27"/>
  <c r="M37" i="27"/>
  <c r="M23" i="27"/>
  <c r="M28" i="27"/>
  <c r="M20" i="27"/>
  <c r="M26" i="27"/>
  <c r="M30" i="27"/>
  <c r="D12" i="27"/>
  <c r="L12" i="27"/>
  <c r="K12" i="27"/>
  <c r="I12" i="27"/>
  <c r="M169" i="2"/>
  <c r="I41" i="24"/>
  <c r="M216" i="2"/>
  <c r="G24" i="2" s="1"/>
  <c r="N214" i="2"/>
  <c r="M168" i="2"/>
  <c r="L160" i="2"/>
  <c r="M160" i="2" s="1"/>
  <c r="M166" i="2"/>
  <c r="M165" i="2"/>
  <c r="M164" i="2"/>
  <c r="M162" i="2"/>
  <c r="M161" i="2"/>
  <c r="M151" i="2"/>
  <c r="M158" i="2"/>
  <c r="M159" i="2"/>
  <c r="M157" i="2"/>
  <c r="M156" i="2"/>
  <c r="M155" i="2"/>
  <c r="M154" i="2"/>
  <c r="M153" i="2"/>
  <c r="M152" i="2"/>
  <c r="J267" i="2"/>
  <c r="L267" i="2"/>
  <c r="L295" i="2"/>
  <c r="M295" i="2" s="1"/>
  <c r="L287" i="2"/>
  <c r="M287" i="2" s="1"/>
  <c r="AA9" i="2"/>
  <c r="V12" i="28" s="1"/>
  <c r="I284" i="2"/>
  <c r="J284" i="2" s="1"/>
  <c r="L300" i="2"/>
  <c r="M300" i="2" s="1"/>
  <c r="M150" i="2"/>
  <c r="K297" i="2"/>
  <c r="L296" i="2"/>
  <c r="M296" i="2" s="1"/>
  <c r="L292" i="2"/>
  <c r="M292" i="2" s="1"/>
  <c r="L288" i="2"/>
  <c r="M288" i="2" s="1"/>
  <c r="K289" i="2"/>
  <c r="M149" i="2"/>
  <c r="M148" i="2"/>
  <c r="M145" i="2"/>
  <c r="N210" i="2"/>
  <c r="J250" i="2"/>
  <c r="M250" i="2" s="1"/>
  <c r="M144" i="2"/>
  <c r="L244" i="2"/>
  <c r="J244" i="2"/>
  <c r="L247" i="2"/>
  <c r="M247" i="2" s="1"/>
  <c r="N103" i="8"/>
  <c r="E180" i="8" s="1"/>
  <c r="O104" i="8"/>
  <c r="K241" i="2"/>
  <c r="L240" i="2"/>
  <c r="M240" i="2" s="1"/>
  <c r="K249" i="2"/>
  <c r="L249" i="2" s="1"/>
  <c r="M249" i="2" s="1"/>
  <c r="L248" i="2"/>
  <c r="M248" i="2" s="1"/>
  <c r="M142" i="2"/>
  <c r="M141" i="2"/>
  <c r="L278" i="2"/>
  <c r="M278" i="2" s="1"/>
  <c r="M140" i="2"/>
  <c r="M139" i="2"/>
  <c r="E179" i="8"/>
  <c r="L102" i="8"/>
  <c r="R102" i="8" s="1"/>
  <c r="L279" i="2"/>
  <c r="M279" i="2" s="1"/>
  <c r="K280" i="2"/>
  <c r="R101" i="8"/>
  <c r="L100" i="8"/>
  <c r="O100" i="8" s="1"/>
  <c r="E175" i="8"/>
  <c r="O99" i="8"/>
  <c r="O98" i="8"/>
  <c r="M137" i="2"/>
  <c r="O97" i="8"/>
  <c r="I275" i="2"/>
  <c r="J275" i="2" s="1"/>
  <c r="K272" i="2"/>
  <c r="L271" i="2"/>
  <c r="M271" i="2" s="1"/>
  <c r="M134" i="2"/>
  <c r="M133" i="2"/>
  <c r="K264" i="2"/>
  <c r="L263" i="2"/>
  <c r="M263" i="2" s="1"/>
  <c r="O96" i="8"/>
  <c r="O95" i="8"/>
  <c r="M131" i="2"/>
  <c r="O93" i="8"/>
  <c r="E174" i="8"/>
  <c r="O94" i="8"/>
  <c r="O92" i="8"/>
  <c r="O91" i="8"/>
  <c r="O90" i="8"/>
  <c r="O89" i="8"/>
  <c r="I127" i="2"/>
  <c r="J127" i="2" s="1"/>
  <c r="N88" i="8"/>
  <c r="L88" i="8"/>
  <c r="J130" i="2"/>
  <c r="M130" i="2" s="1"/>
  <c r="L129" i="2"/>
  <c r="J129" i="2"/>
  <c r="L87" i="8"/>
  <c r="N87" i="8"/>
  <c r="N86" i="8"/>
  <c r="L86" i="8"/>
  <c r="L128" i="2"/>
  <c r="J128" i="2"/>
  <c r="N85" i="8"/>
  <c r="L85" i="8"/>
  <c r="J126" i="2"/>
  <c r="M126" i="2" s="1"/>
  <c r="N84" i="8"/>
  <c r="L84" i="8"/>
  <c r="N83" i="8"/>
  <c r="L83" i="8"/>
  <c r="N82" i="8"/>
  <c r="L82" i="8"/>
  <c r="N81" i="8"/>
  <c r="L81" i="8"/>
  <c r="N80" i="8"/>
  <c r="L80" i="8"/>
  <c r="J125" i="2"/>
  <c r="M125" i="2" s="1"/>
  <c r="J124" i="2"/>
  <c r="M124" i="2" s="1"/>
  <c r="H259" i="2"/>
  <c r="K254" i="2"/>
  <c r="L253" i="2"/>
  <c r="M253" i="2" s="1"/>
  <c r="N79" i="8"/>
  <c r="L79" i="8"/>
  <c r="N78" i="8"/>
  <c r="L78" i="8"/>
  <c r="J123" i="2"/>
  <c r="M123" i="2" s="1"/>
  <c r="N77" i="8"/>
  <c r="L77" i="8"/>
  <c r="N75" i="8"/>
  <c r="L75" i="8"/>
  <c r="N76" i="8"/>
  <c r="L76" i="8"/>
  <c r="N74" i="8"/>
  <c r="L74" i="8"/>
  <c r="N73" i="8"/>
  <c r="L73" i="8"/>
  <c r="Q12" i="24"/>
  <c r="O12" i="24"/>
  <c r="R12" i="24" s="1"/>
  <c r="N72" i="8"/>
  <c r="L72" i="8"/>
  <c r="N71" i="8"/>
  <c r="L71" i="8"/>
  <c r="L70" i="8"/>
  <c r="N70" i="8"/>
  <c r="N69" i="8"/>
  <c r="L69" i="8"/>
  <c r="L68" i="8"/>
  <c r="O68" i="8" s="1"/>
  <c r="J122" i="2"/>
  <c r="M122" i="2" s="1"/>
  <c r="L121" i="2"/>
  <c r="J121" i="2"/>
  <c r="L120" i="2"/>
  <c r="M120" i="2" s="1"/>
  <c r="J119" i="2"/>
  <c r="L119" i="2"/>
  <c r="L118" i="2"/>
  <c r="F49" i="24"/>
  <c r="F47" i="24"/>
  <c r="F45" i="24"/>
  <c r="L117" i="2"/>
  <c r="M117" i="2" s="1"/>
  <c r="L116" i="2"/>
  <c r="J116" i="2"/>
  <c r="L115" i="2"/>
  <c r="L114" i="2"/>
  <c r="J114" i="2"/>
  <c r="L113" i="2"/>
  <c r="J113" i="2"/>
  <c r="L112" i="2"/>
  <c r="L67" i="8"/>
  <c r="R67" i="8" s="1"/>
  <c r="L111" i="2"/>
  <c r="J111" i="2"/>
  <c r="L109" i="2"/>
  <c r="J109" i="2"/>
  <c r="L108" i="2"/>
  <c r="J108" i="2"/>
  <c r="J107" i="2"/>
  <c r="L107" i="2"/>
  <c r="N66" i="8"/>
  <c r="L66" i="8"/>
  <c r="L65" i="8"/>
  <c r="N65" i="8"/>
  <c r="J64" i="8"/>
  <c r="K64" i="8" s="1"/>
  <c r="N64" i="8" s="1"/>
  <c r="H106" i="2"/>
  <c r="I106" i="2" s="1"/>
  <c r="Q106" i="2"/>
  <c r="K106" i="2" a="1"/>
  <c r="K106" i="2" s="1"/>
  <c r="Q105" i="2"/>
  <c r="K105" i="2" a="1"/>
  <c r="K105" i="2" s="1"/>
  <c r="I105" i="2"/>
  <c r="O5" i="25"/>
  <c r="H104" i="2"/>
  <c r="I104" i="2" s="1"/>
  <c r="Q104" i="2"/>
  <c r="K104" i="2" a="1"/>
  <c r="K104" i="2" s="1"/>
  <c r="Q103" i="2"/>
  <c r="K103" i="2" a="1"/>
  <c r="K103" i="2" s="1"/>
  <c r="H103" i="2"/>
  <c r="I103" i="2" s="1"/>
  <c r="J63" i="8"/>
  <c r="K63" i="8" s="1"/>
  <c r="H102" i="2"/>
  <c r="I102" i="2" s="1"/>
  <c r="K102" i="2" a="1"/>
  <c r="K102" i="2" s="1"/>
  <c r="Q102" i="2"/>
  <c r="J62" i="8"/>
  <c r="K62" i="8" s="1"/>
  <c r="J61" i="8"/>
  <c r="K61" i="8" s="1"/>
  <c r="I32" i="25"/>
  <c r="H31" i="25"/>
  <c r="I31" i="25" s="1"/>
  <c r="O24" i="25"/>
  <c r="O23" i="25"/>
  <c r="O22" i="25"/>
  <c r="O21" i="25"/>
  <c r="O20" i="25"/>
  <c r="O19" i="25"/>
  <c r="K17" i="25"/>
  <c r="K16" i="25"/>
  <c r="K15" i="25"/>
  <c r="K14" i="25"/>
  <c r="K13" i="25"/>
  <c r="K12" i="25"/>
  <c r="G11" i="25"/>
  <c r="I9" i="25"/>
  <c r="J9" i="25" s="1"/>
  <c r="C9" i="25"/>
  <c r="I8" i="25"/>
  <c r="J8" i="25" s="1"/>
  <c r="C8" i="25"/>
  <c r="I7" i="25"/>
  <c r="J7" i="25" s="1"/>
  <c r="C7" i="25"/>
  <c r="I6" i="25"/>
  <c r="J6" i="25" s="1"/>
  <c r="C6" i="25"/>
  <c r="I5" i="25"/>
  <c r="K4" i="25" a="1"/>
  <c r="K4" i="25" s="1"/>
  <c r="K11" i="25" s="1"/>
  <c r="H4" i="25"/>
  <c r="H11" i="25" s="1"/>
  <c r="Q101" i="2"/>
  <c r="K101" i="2" a="1"/>
  <c r="K101" i="2" s="1"/>
  <c r="H101" i="2"/>
  <c r="I101" i="2" s="1"/>
  <c r="Z12" i="28" l="1"/>
  <c r="Z14" i="28" s="1"/>
  <c r="R219" i="2"/>
  <c r="AF11" i="2"/>
  <c r="AF12" i="2"/>
  <c r="U13" i="28"/>
  <c r="U19" i="28" s="1"/>
  <c r="V14" i="28"/>
  <c r="V18" i="28"/>
  <c r="V20" i="28" s="1"/>
  <c r="Y13" i="28"/>
  <c r="Y19" i="28"/>
  <c r="AB16" i="28"/>
  <c r="X17" i="28"/>
  <c r="X18" i="28"/>
  <c r="X20" i="28" s="1"/>
  <c r="H17" i="2"/>
  <c r="H18" i="2"/>
  <c r="AD9" i="2"/>
  <c r="AE10" i="2" s="1"/>
  <c r="Q11" i="27"/>
  <c r="Y15" i="28" s="1"/>
  <c r="Z9" i="2"/>
  <c r="O103" i="8"/>
  <c r="AB9" i="2"/>
  <c r="N212" i="2"/>
  <c r="N216" i="2"/>
  <c r="L212" i="27"/>
  <c r="H213" i="27" s="1"/>
  <c r="M38" i="27"/>
  <c r="O12" i="27"/>
  <c r="J12" i="27"/>
  <c r="M12" i="27"/>
  <c r="N12" i="27"/>
  <c r="P12" i="27"/>
  <c r="R216" i="2"/>
  <c r="Q225" i="2" s="1"/>
  <c r="R217" i="2"/>
  <c r="I46" i="24"/>
  <c r="L284" i="2"/>
  <c r="M284" i="2" s="1"/>
  <c r="M267" i="2"/>
  <c r="L264" i="2"/>
  <c r="M264" i="2" s="1"/>
  <c r="K265" i="2"/>
  <c r="L297" i="2"/>
  <c r="M297" i="2" s="1"/>
  <c r="K298" i="2"/>
  <c r="K290" i="2"/>
  <c r="L289" i="2"/>
  <c r="M289" i="2" s="1"/>
  <c r="L280" i="2"/>
  <c r="M280" i="2" s="1"/>
  <c r="K281" i="2"/>
  <c r="M244" i="2"/>
  <c r="I40" i="24"/>
  <c r="L241" i="2"/>
  <c r="M241" i="2" s="1"/>
  <c r="K242" i="2"/>
  <c r="L242" i="2" s="1"/>
  <c r="M242" i="2" s="1"/>
  <c r="L272" i="2"/>
  <c r="M272" i="2" s="1"/>
  <c r="K273" i="2"/>
  <c r="L275" i="2"/>
  <c r="M275" i="2" s="1"/>
  <c r="E166" i="8"/>
  <c r="E167" i="8"/>
  <c r="E170" i="8"/>
  <c r="L127" i="2"/>
  <c r="M127" i="2" s="1"/>
  <c r="I259" i="2"/>
  <c r="J259" i="2" s="1"/>
  <c r="E312" i="2" s="1"/>
  <c r="O87" i="8"/>
  <c r="O88" i="8"/>
  <c r="M129" i="2"/>
  <c r="O70" i="8"/>
  <c r="O86" i="8"/>
  <c r="M128" i="2"/>
  <c r="O85" i="8"/>
  <c r="O84" i="8"/>
  <c r="O83" i="8"/>
  <c r="O82" i="8"/>
  <c r="O81" i="8"/>
  <c r="O80" i="8"/>
  <c r="L254" i="2"/>
  <c r="M254" i="2" s="1"/>
  <c r="K255" i="2"/>
  <c r="O79" i="8"/>
  <c r="O78" i="8"/>
  <c r="F165" i="8"/>
  <c r="E165" i="8"/>
  <c r="O77" i="8"/>
  <c r="O76" i="8"/>
  <c r="O75" i="8"/>
  <c r="O74" i="8"/>
  <c r="O73" i="8"/>
  <c r="O72" i="8"/>
  <c r="O71" i="8"/>
  <c r="O69" i="8"/>
  <c r="M121" i="2"/>
  <c r="E311" i="2"/>
  <c r="M119" i="2"/>
  <c r="M118" i="2"/>
  <c r="M115" i="2"/>
  <c r="M116" i="2"/>
  <c r="M114" i="2"/>
  <c r="M113" i="2"/>
  <c r="M112" i="2"/>
  <c r="M111" i="2"/>
  <c r="G12" i="25"/>
  <c r="F11" i="25"/>
  <c r="I4" i="25"/>
  <c r="J4" i="25" s="1"/>
  <c r="M109" i="2"/>
  <c r="E161" i="8"/>
  <c r="O65" i="8"/>
  <c r="M108" i="2"/>
  <c r="M107" i="2"/>
  <c r="O66" i="8"/>
  <c r="L64" i="8"/>
  <c r="O64" i="8" s="1"/>
  <c r="L106" i="2"/>
  <c r="J106" i="2"/>
  <c r="L105" i="2"/>
  <c r="J105" i="2"/>
  <c r="P5" i="25"/>
  <c r="J104" i="2"/>
  <c r="L104" i="2"/>
  <c r="L103" i="2"/>
  <c r="J103" i="2"/>
  <c r="Q63" i="8"/>
  <c r="E160" i="8" s="1"/>
  <c r="L63" i="8"/>
  <c r="J102" i="2"/>
  <c r="L102" i="2"/>
  <c r="L62" i="8"/>
  <c r="N62" i="8"/>
  <c r="E169" i="8" s="1"/>
  <c r="N61" i="8"/>
  <c r="L61" i="8"/>
  <c r="J5" i="25"/>
  <c r="G17" i="25"/>
  <c r="K5" i="25"/>
  <c r="L5" i="25" s="1"/>
  <c r="K6" i="25"/>
  <c r="L6" i="25" s="1"/>
  <c r="M6" i="25" s="1"/>
  <c r="K7" i="25"/>
  <c r="L7" i="25" s="1"/>
  <c r="M7" i="25" s="1"/>
  <c r="K19" i="25"/>
  <c r="K20" i="25"/>
  <c r="H12" i="25"/>
  <c r="H13" i="25"/>
  <c r="H14" i="25"/>
  <c r="H15" i="25"/>
  <c r="H16" i="25"/>
  <c r="H17" i="25"/>
  <c r="G16" i="25"/>
  <c r="G15" i="25"/>
  <c r="G14" i="25"/>
  <c r="G13" i="25"/>
  <c r="L101" i="2"/>
  <c r="J101" i="2"/>
  <c r="F9" i="24" a="1"/>
  <c r="F9" i="24" s="1"/>
  <c r="G9" i="24" a="1"/>
  <c r="G9" i="24" s="1"/>
  <c r="T9" i="24" s="1"/>
  <c r="H9" i="24" a="1"/>
  <c r="H9" i="24" s="1"/>
  <c r="I9" i="24" a="1"/>
  <c r="I9" i="24" s="1"/>
  <c r="N9" i="24"/>
  <c r="P9" i="24" s="1"/>
  <c r="P16" i="24"/>
  <c r="H34" i="24"/>
  <c r="P21" i="24"/>
  <c r="J34" i="24"/>
  <c r="F34" i="24"/>
  <c r="G26" i="24"/>
  <c r="F26" i="24" s="1"/>
  <c r="G21" i="24" a="1"/>
  <c r="G21" i="24" s="1"/>
  <c r="G20" i="24" a="1"/>
  <c r="G20" i="24" s="1"/>
  <c r="G19" i="24" a="1"/>
  <c r="G19" i="24" s="1"/>
  <c r="G17" i="24" a="1"/>
  <c r="G17" i="24" s="1"/>
  <c r="T17" i="24" s="1"/>
  <c r="G16" i="24" a="1"/>
  <c r="G16" i="24" s="1"/>
  <c r="G15" i="24" a="1"/>
  <c r="G15" i="24" s="1"/>
  <c r="T15" i="24" s="1"/>
  <c r="G5" i="24" a="1"/>
  <c r="G5" i="24" s="1"/>
  <c r="T5" i="24" s="1"/>
  <c r="G6" i="24" a="1"/>
  <c r="G6" i="24" s="1"/>
  <c r="T6" i="24" s="1"/>
  <c r="G7" i="24" a="1"/>
  <c r="G7" i="24" s="1"/>
  <c r="T7" i="24" s="1"/>
  <c r="G8" i="24" a="1"/>
  <c r="G8" i="24" s="1"/>
  <c r="T8" i="24" s="1"/>
  <c r="G10" i="24" a="1"/>
  <c r="G10" i="24" s="1"/>
  <c r="T10" i="24" s="1"/>
  <c r="G11" i="24" a="1"/>
  <c r="G11" i="24" s="1"/>
  <c r="T11" i="24" s="1"/>
  <c r="G13" i="24" a="1"/>
  <c r="G13" i="24" s="1"/>
  <c r="T13" i="24" s="1"/>
  <c r="G4" i="24" a="1"/>
  <c r="G4" i="24" s="1"/>
  <c r="T4" i="24" s="1"/>
  <c r="H100" i="2"/>
  <c r="I100" i="2" s="1"/>
  <c r="J100" i="2" s="1"/>
  <c r="K100" i="2" a="1"/>
  <c r="K100" i="2" s="1"/>
  <c r="Q100" i="2"/>
  <c r="P20" i="24"/>
  <c r="P19" i="24"/>
  <c r="N5" i="24"/>
  <c r="N7" i="24"/>
  <c r="N8" i="24"/>
  <c r="N10" i="24"/>
  <c r="P10" i="24" s="1"/>
  <c r="N15" i="24"/>
  <c r="N16" i="24"/>
  <c r="N19" i="24"/>
  <c r="N20" i="24"/>
  <c r="N21" i="24"/>
  <c r="N4" i="24"/>
  <c r="M17" i="24"/>
  <c r="N17" i="24" s="1"/>
  <c r="M13" i="24"/>
  <c r="N13" i="24" s="1"/>
  <c r="M11" i="24"/>
  <c r="N11" i="24" s="1"/>
  <c r="M6" i="24"/>
  <c r="N6" i="24" s="1"/>
  <c r="F5" i="24" a="1"/>
  <c r="F5" i="24" s="1"/>
  <c r="H5" i="24" a="1"/>
  <c r="H5" i="24" s="1"/>
  <c r="I5" i="24" a="1"/>
  <c r="I5" i="24" s="1"/>
  <c r="F6" i="24" a="1"/>
  <c r="F6" i="24" s="1"/>
  <c r="H6" i="24" a="1"/>
  <c r="H6" i="24" s="1"/>
  <c r="I6" i="24" a="1"/>
  <c r="I6" i="24" s="1"/>
  <c r="F7" i="24" a="1"/>
  <c r="F7" i="24" s="1"/>
  <c r="H7" i="24" a="1"/>
  <c r="H7" i="24" s="1"/>
  <c r="I7" i="24" a="1"/>
  <c r="I7" i="24" s="1"/>
  <c r="F8" i="24" a="1"/>
  <c r="F8" i="24" s="1"/>
  <c r="H8" i="24" a="1"/>
  <c r="H8" i="24" s="1"/>
  <c r="I8" i="24" a="1"/>
  <c r="I8" i="24" s="1"/>
  <c r="F10" i="24" a="1"/>
  <c r="F10" i="24" s="1"/>
  <c r="H10" i="24" a="1"/>
  <c r="H10" i="24" s="1"/>
  <c r="I10" i="24" a="1"/>
  <c r="I10" i="24" s="1"/>
  <c r="F11" i="24" a="1"/>
  <c r="F11" i="24" s="1"/>
  <c r="H11" i="24" a="1"/>
  <c r="H11" i="24" s="1"/>
  <c r="I11" i="24" a="1"/>
  <c r="I11" i="24" s="1"/>
  <c r="F13" i="24" a="1"/>
  <c r="F13" i="24" s="1"/>
  <c r="H13" i="24" a="1"/>
  <c r="H13" i="24" s="1"/>
  <c r="I13" i="24" a="1"/>
  <c r="I13" i="24" s="1"/>
  <c r="F15" i="24" a="1"/>
  <c r="F15" i="24" s="1"/>
  <c r="H15" i="24" a="1"/>
  <c r="H15" i="24" s="1"/>
  <c r="I15" i="24" a="1"/>
  <c r="I15" i="24" s="1"/>
  <c r="F16" i="24" a="1"/>
  <c r="F16" i="24" s="1"/>
  <c r="H16" i="24" a="1"/>
  <c r="H16" i="24" s="1"/>
  <c r="I16" i="24" a="1"/>
  <c r="I16" i="24" s="1"/>
  <c r="O16" i="24" s="1"/>
  <c r="F17" i="24" a="1"/>
  <c r="F17" i="24" s="1"/>
  <c r="H17" i="24" a="1"/>
  <c r="H17" i="24" s="1"/>
  <c r="I17" i="24" a="1"/>
  <c r="I17" i="24" s="1"/>
  <c r="F19" i="24" a="1"/>
  <c r="F19" i="24" s="1"/>
  <c r="R19" i="24" s="1"/>
  <c r="H19" i="24" a="1"/>
  <c r="H19" i="24" s="1"/>
  <c r="I19" i="24" a="1"/>
  <c r="I19" i="24" s="1"/>
  <c r="F20" i="24" a="1"/>
  <c r="F20" i="24" s="1"/>
  <c r="R20" i="24" s="1"/>
  <c r="H20" i="24" a="1"/>
  <c r="H20" i="24" s="1"/>
  <c r="I20" i="24" a="1"/>
  <c r="I20" i="24" s="1"/>
  <c r="F21" i="24" a="1"/>
  <c r="F21" i="24" s="1"/>
  <c r="H21" i="24" a="1"/>
  <c r="H21" i="24" s="1"/>
  <c r="I21" i="24" a="1"/>
  <c r="I21" i="24" s="1"/>
  <c r="O21" i="24" s="1"/>
  <c r="I4" i="24" a="1"/>
  <c r="I4" i="24" s="1"/>
  <c r="H4" i="24" a="1"/>
  <c r="H4" i="24" s="1"/>
  <c r="F4" i="24" a="1"/>
  <c r="F4" i="24" s="1"/>
  <c r="J60" i="8"/>
  <c r="K60" i="8" s="1"/>
  <c r="J59" i="8"/>
  <c r="K59" i="8" s="1"/>
  <c r="J58" i="8"/>
  <c r="K58" i="8" s="1"/>
  <c r="L58" i="8" s="1"/>
  <c r="J57" i="8"/>
  <c r="K57" i="8" s="1"/>
  <c r="I99" i="2"/>
  <c r="J99" i="2" s="1"/>
  <c r="K99" i="2" a="1"/>
  <c r="K99" i="2" s="1"/>
  <c r="Q99" i="2"/>
  <c r="I98" i="2"/>
  <c r="J98" i="2" s="1"/>
  <c r="K98" i="2" a="1"/>
  <c r="K98" i="2" s="1"/>
  <c r="Q98" i="2"/>
  <c r="J56" i="8"/>
  <c r="K56" i="8" s="1"/>
  <c r="J55" i="8"/>
  <c r="I55" i="8"/>
  <c r="H55" i="8" s="1"/>
  <c r="J54" i="8"/>
  <c r="K54" i="8" s="1"/>
  <c r="H97" i="2"/>
  <c r="I97" i="2" s="1"/>
  <c r="K97" i="2" a="1"/>
  <c r="K97" i="2" s="1"/>
  <c r="Q97" i="2"/>
  <c r="J51" i="8"/>
  <c r="K51" i="8" s="1"/>
  <c r="J52" i="8"/>
  <c r="K52" i="8" s="1"/>
  <c r="L52" i="8" s="1"/>
  <c r="J53" i="8"/>
  <c r="K53" i="8" s="1"/>
  <c r="N53" i="8" s="1"/>
  <c r="J50" i="8"/>
  <c r="K50" i="8" s="1"/>
  <c r="AD10" i="2" l="1"/>
  <c r="Y12" i="28"/>
  <c r="Y14" i="28" s="1"/>
  <c r="Y17" i="28"/>
  <c r="Q12" i="27"/>
  <c r="Z18" i="28"/>
  <c r="Z20" i="28" s="1"/>
  <c r="AB15" i="28"/>
  <c r="Z17" i="28"/>
  <c r="AC10" i="2"/>
  <c r="W12" i="28"/>
  <c r="AA10" i="2"/>
  <c r="U12" i="28"/>
  <c r="R13" i="27"/>
  <c r="G5" i="27" s="1"/>
  <c r="F5" i="28" s="1"/>
  <c r="AB10" i="2"/>
  <c r="R12" i="27"/>
  <c r="R14" i="27"/>
  <c r="L213" i="27"/>
  <c r="K230" i="27"/>
  <c r="M230" i="27"/>
  <c r="I45" i="24"/>
  <c r="L265" i="2"/>
  <c r="M265" i="2" s="1"/>
  <c r="K266" i="2"/>
  <c r="L266" i="2" s="1"/>
  <c r="M266" i="2" s="1"/>
  <c r="K299" i="2"/>
  <c r="L299" i="2" s="1"/>
  <c r="M299" i="2" s="1"/>
  <c r="L298" i="2"/>
  <c r="M298" i="2" s="1"/>
  <c r="L290" i="2"/>
  <c r="M290" i="2" s="1"/>
  <c r="K291" i="2"/>
  <c r="L291" i="2" s="1"/>
  <c r="M291" i="2" s="1"/>
  <c r="K282" i="2"/>
  <c r="L281" i="2"/>
  <c r="M281" i="2" s="1"/>
  <c r="K274" i="2"/>
  <c r="L274" i="2" s="1"/>
  <c r="M274" i="2" s="1"/>
  <c r="L273" i="2"/>
  <c r="M273" i="2" s="1"/>
  <c r="H225" i="2"/>
  <c r="L255" i="2"/>
  <c r="M255" i="2" s="1"/>
  <c r="K256" i="2"/>
  <c r="G1" i="24"/>
  <c r="H1" i="24" s="1"/>
  <c r="H24" i="2"/>
  <c r="L259" i="2"/>
  <c r="H311" i="2"/>
  <c r="L4" i="25"/>
  <c r="M4" i="25" s="1"/>
  <c r="Q21" i="24"/>
  <c r="M106" i="2"/>
  <c r="M105" i="2"/>
  <c r="Q5" i="25"/>
  <c r="M104" i="2"/>
  <c r="D32" i="20"/>
  <c r="M102" i="2"/>
  <c r="M103" i="2"/>
  <c r="E159" i="8"/>
  <c r="O62" i="8"/>
  <c r="R63" i="8"/>
  <c r="M5" i="25"/>
  <c r="O61" i="8"/>
  <c r="F12" i="25"/>
  <c r="I12" i="25" s="1"/>
  <c r="F13" i="25"/>
  <c r="I13" i="25" s="1"/>
  <c r="F14" i="25"/>
  <c r="I14" i="25" s="1"/>
  <c r="F15" i="25"/>
  <c r="I15" i="25" s="1"/>
  <c r="F16" i="25"/>
  <c r="I16" i="25" s="1"/>
  <c r="F17" i="25"/>
  <c r="I17" i="25" s="1"/>
  <c r="I11" i="25"/>
  <c r="K21" i="25"/>
  <c r="K22" i="25"/>
  <c r="K8" i="25"/>
  <c r="K24" i="25"/>
  <c r="P4" i="25"/>
  <c r="Q4" i="25" s="1"/>
  <c r="O4" i="25"/>
  <c r="M101" i="2"/>
  <c r="R21" i="24"/>
  <c r="R16" i="24"/>
  <c r="Q19" i="24"/>
  <c r="Q10" i="24"/>
  <c r="Q16" i="24"/>
  <c r="Q20" i="24"/>
  <c r="Q9" i="24"/>
  <c r="O9" i="24"/>
  <c r="R9" i="24" s="1"/>
  <c r="R17" i="24"/>
  <c r="O6" i="24"/>
  <c r="R6" i="24" s="1"/>
  <c r="P15" i="24"/>
  <c r="Q15" i="24" s="1"/>
  <c r="O10" i="24"/>
  <c r="R10" i="24" s="1"/>
  <c r="P6" i="24"/>
  <c r="Q6" i="24" s="1"/>
  <c r="P11" i="24"/>
  <c r="Q11" i="24" s="1"/>
  <c r="P13" i="24"/>
  <c r="Q13" i="24" s="1"/>
  <c r="P17" i="24"/>
  <c r="Q17" i="24" s="1"/>
  <c r="P4" i="24"/>
  <c r="Q4" i="24" s="1"/>
  <c r="P5" i="24"/>
  <c r="Q5" i="24" s="1"/>
  <c r="P7" i="24"/>
  <c r="Q7" i="24" s="1"/>
  <c r="P8" i="24"/>
  <c r="Q8" i="24" s="1"/>
  <c r="L100" i="2"/>
  <c r="N60" i="8"/>
  <c r="E158" i="8" s="1"/>
  <c r="L60" i="8"/>
  <c r="N59" i="8"/>
  <c r="L59" i="8"/>
  <c r="N58" i="8"/>
  <c r="N57" i="8"/>
  <c r="E156" i="8" s="1"/>
  <c r="L57" i="8"/>
  <c r="L99" i="2"/>
  <c r="M99" i="2" s="1"/>
  <c r="L98" i="2"/>
  <c r="L56" i="8"/>
  <c r="N56" i="8"/>
  <c r="K55" i="8"/>
  <c r="N55" i="8" s="1"/>
  <c r="L54" i="8"/>
  <c r="N54" i="8"/>
  <c r="L97" i="2"/>
  <c r="J97" i="2"/>
  <c r="L53" i="8"/>
  <c r="O53" i="8" s="1"/>
  <c r="N52" i="8"/>
  <c r="O52" i="8" s="1"/>
  <c r="L51" i="8"/>
  <c r="N51" i="8"/>
  <c r="N50" i="8"/>
  <c r="L50" i="8"/>
  <c r="Y18" i="28" l="1"/>
  <c r="Y20" i="28" s="1"/>
  <c r="AB17" i="28"/>
  <c r="R15" i="27"/>
  <c r="U14" i="28"/>
  <c r="U18" i="28"/>
  <c r="U20" i="28" s="1"/>
  <c r="W14" i="28"/>
  <c r="W18" i="28"/>
  <c r="W20" i="28" s="1"/>
  <c r="T222" i="27"/>
  <c r="T223" i="27"/>
  <c r="T224" i="27"/>
  <c r="T225" i="27"/>
  <c r="T226" i="27"/>
  <c r="T227" i="27"/>
  <c r="T228" i="27"/>
  <c r="T229" i="27"/>
  <c r="T220" i="27"/>
  <c r="T221" i="27"/>
  <c r="G6" i="27"/>
  <c r="D3" i="27" s="1"/>
  <c r="G5" i="28"/>
  <c r="N230" i="27"/>
  <c r="D10" i="27"/>
  <c r="D7" i="27"/>
  <c r="F5" i="27"/>
  <c r="H5" i="27"/>
  <c r="H7" i="27"/>
  <c r="K283" i="2"/>
  <c r="L283" i="2" s="1"/>
  <c r="M283" i="2" s="1"/>
  <c r="L282" i="2"/>
  <c r="M282" i="2" s="1"/>
  <c r="K257" i="2"/>
  <c r="L256" i="2"/>
  <c r="M256" i="2" s="1"/>
  <c r="M259" i="2"/>
  <c r="H312" i="2"/>
  <c r="M98" i="2"/>
  <c r="O4" i="24"/>
  <c r="R4" i="24" s="1"/>
  <c r="O8" i="24"/>
  <c r="R8" i="24" s="1"/>
  <c r="O7" i="24"/>
  <c r="R7" i="24" s="1"/>
  <c r="M100" i="2"/>
  <c r="J11" i="25"/>
  <c r="F19" i="25"/>
  <c r="I19" i="25" s="1"/>
  <c r="O6" i="25"/>
  <c r="P6" i="25"/>
  <c r="Q6" i="25" s="1"/>
  <c r="F24" i="25"/>
  <c r="I24" i="25" s="1"/>
  <c r="L16" i="25"/>
  <c r="J16" i="25"/>
  <c r="J15" i="25"/>
  <c r="F23" i="25"/>
  <c r="I23" i="25" s="1"/>
  <c r="L15" i="25"/>
  <c r="K23" i="25"/>
  <c r="L8" i="25"/>
  <c r="M8" i="25" s="1"/>
  <c r="K9" i="25"/>
  <c r="P7" i="25"/>
  <c r="Q7" i="25" s="1"/>
  <c r="O7" i="25"/>
  <c r="L11" i="25"/>
  <c r="J14" i="25"/>
  <c r="F22" i="25"/>
  <c r="I22" i="25" s="1"/>
  <c r="L14" i="25"/>
  <c r="N8" i="25"/>
  <c r="J17" i="25"/>
  <c r="L17" i="25"/>
  <c r="J13" i="25"/>
  <c r="F21" i="25"/>
  <c r="I21" i="25" s="1"/>
  <c r="L13" i="25"/>
  <c r="F20" i="25"/>
  <c r="I20" i="25" s="1"/>
  <c r="J12" i="25"/>
  <c r="L12" i="25"/>
  <c r="O5" i="24"/>
  <c r="R5" i="24" s="1"/>
  <c r="O13" i="24"/>
  <c r="R13" i="24" s="1"/>
  <c r="R15" i="24"/>
  <c r="O11" i="24"/>
  <c r="R11" i="24" s="1"/>
  <c r="O58" i="8"/>
  <c r="E157" i="8"/>
  <c r="O60" i="8"/>
  <c r="O59" i="8"/>
  <c r="O57" i="8"/>
  <c r="O54" i="8"/>
  <c r="E155" i="8"/>
  <c r="O51" i="8"/>
  <c r="O56" i="8"/>
  <c r="E154" i="8"/>
  <c r="L55" i="8"/>
  <c r="O55" i="8" s="1"/>
  <c r="M97" i="2"/>
  <c r="O50" i="8"/>
  <c r="H96" i="2"/>
  <c r="I96" i="2" s="1"/>
  <c r="J96" i="2" s="1"/>
  <c r="K96" i="2" a="1"/>
  <c r="K96" i="2" s="1"/>
  <c r="Q96" i="2"/>
  <c r="J49" i="8"/>
  <c r="K49" i="8" s="1"/>
  <c r="L49" i="8" s="1"/>
  <c r="Q95" i="2"/>
  <c r="K94" i="2" a="1"/>
  <c r="K94" i="2" s="1"/>
  <c r="Q94" i="2"/>
  <c r="J48" i="8"/>
  <c r="K48" i="8" s="1"/>
  <c r="J47" i="8"/>
  <c r="K47" i="8" s="1"/>
  <c r="L47" i="8" s="1"/>
  <c r="K95" i="2" a="1"/>
  <c r="K95" i="2" s="1"/>
  <c r="Q93" i="2"/>
  <c r="K93" i="2" a="1"/>
  <c r="K93" i="2" s="1"/>
  <c r="F93" i="2"/>
  <c r="I93" i="2" s="1"/>
  <c r="Q92" i="2"/>
  <c r="K92" i="2" a="1"/>
  <c r="K92" i="2" s="1"/>
  <c r="H92" i="2"/>
  <c r="I92" i="2" s="1"/>
  <c r="I35" i="22"/>
  <c r="H34" i="22"/>
  <c r="I34" i="22" s="1"/>
  <c r="O25" i="22"/>
  <c r="O24" i="22"/>
  <c r="O23" i="22"/>
  <c r="O22" i="22"/>
  <c r="O21" i="22"/>
  <c r="O20" i="22"/>
  <c r="K18" i="22"/>
  <c r="G18" i="22"/>
  <c r="G16" i="22"/>
  <c r="K14" i="22"/>
  <c r="G14" i="22"/>
  <c r="G12" i="22"/>
  <c r="G13" i="22" s="1"/>
  <c r="I10" i="22"/>
  <c r="J10" i="22" s="1"/>
  <c r="C10" i="22"/>
  <c r="N9" i="22"/>
  <c r="I9" i="22"/>
  <c r="J9" i="22" s="1"/>
  <c r="C9" i="22"/>
  <c r="O8" i="22"/>
  <c r="N8" i="22"/>
  <c r="J8" i="22"/>
  <c r="I8" i="22"/>
  <c r="P8" i="22" s="1"/>
  <c r="C8" i="22"/>
  <c r="O7" i="22"/>
  <c r="N7" i="22"/>
  <c r="I7" i="22"/>
  <c r="P7" i="22" s="1"/>
  <c r="C7" i="22"/>
  <c r="N6" i="22"/>
  <c r="I6" i="22"/>
  <c r="J6" i="22" s="1"/>
  <c r="C6" i="22"/>
  <c r="N5" i="22"/>
  <c r="O5" i="22" s="1"/>
  <c r="I5" i="22"/>
  <c r="J5" i="22" s="1"/>
  <c r="O4" i="22"/>
  <c r="K4" i="22" a="1"/>
  <c r="K4" i="22" s="1"/>
  <c r="I4" i="22"/>
  <c r="P4" i="22" s="1"/>
  <c r="H4" i="22"/>
  <c r="H12" i="22" s="1"/>
  <c r="F12" i="22"/>
  <c r="H94" i="2"/>
  <c r="I94" i="2" s="1"/>
  <c r="L94" i="2" s="1"/>
  <c r="F91" i="2"/>
  <c r="I91" i="2" s="1"/>
  <c r="K91" i="2" a="1"/>
  <c r="K91" i="2" s="1"/>
  <c r="Q91" i="2"/>
  <c r="K110" i="2" a="1"/>
  <c r="K110" i="2" s="1"/>
  <c r="N6" i="13"/>
  <c r="O6" i="13" s="1"/>
  <c r="C10" i="13"/>
  <c r="C9" i="13"/>
  <c r="C8" i="13"/>
  <c r="C7" i="13"/>
  <c r="C6" i="13"/>
  <c r="I7" i="13"/>
  <c r="J7" i="13" s="1"/>
  <c r="N7" i="13"/>
  <c r="O7" i="13" s="1"/>
  <c r="I6" i="13"/>
  <c r="J6" i="13" s="1"/>
  <c r="I8" i="13"/>
  <c r="J8" i="13" s="1"/>
  <c r="N8" i="13"/>
  <c r="O8" i="13" s="1"/>
  <c r="D31" i="21"/>
  <c r="F32" i="21"/>
  <c r="I32" i="21"/>
  <c r="H32" i="21"/>
  <c r="E31" i="21"/>
  <c r="I31" i="21"/>
  <c r="F64" i="21"/>
  <c r="E63" i="21"/>
  <c r="F63" i="21" s="1"/>
  <c r="D59" i="21"/>
  <c r="D58" i="21"/>
  <c r="D57" i="21"/>
  <c r="D56" i="21"/>
  <c r="E52" i="21"/>
  <c r="E53" i="21" s="1"/>
  <c r="D52" i="21"/>
  <c r="D53" i="21" s="1"/>
  <c r="E47" i="21"/>
  <c r="E48" i="21" s="1"/>
  <c r="D47" i="21"/>
  <c r="D48" i="21" s="1"/>
  <c r="D43" i="21"/>
  <c r="G43" i="21" s="1"/>
  <c r="G42" i="21"/>
  <c r="D42" i="21"/>
  <c r="D41" i="21"/>
  <c r="G41" i="21" s="1"/>
  <c r="D40" i="21"/>
  <c r="G40" i="21" s="1"/>
  <c r="M39" i="21"/>
  <c r="P39" i="21" s="1"/>
  <c r="P38" i="21"/>
  <c r="P37" i="21"/>
  <c r="O37" i="21"/>
  <c r="E37" i="21"/>
  <c r="E38" i="21" s="1"/>
  <c r="D37" i="21"/>
  <c r="D38" i="21" s="1"/>
  <c r="P36" i="21"/>
  <c r="P35" i="21"/>
  <c r="O35" i="21"/>
  <c r="P34" i="21"/>
  <c r="P33" i="21"/>
  <c r="O33" i="21"/>
  <c r="H33" i="21"/>
  <c r="E33" i="21"/>
  <c r="H37" i="21"/>
  <c r="H38" i="21" s="1"/>
  <c r="F31" i="21"/>
  <c r="C25" i="21" a="1"/>
  <c r="C25" i="21" s="1"/>
  <c r="X23" i="21"/>
  <c r="X21" i="21"/>
  <c r="X20" i="21"/>
  <c r="X19" i="21"/>
  <c r="C19" i="21" a="1"/>
  <c r="C19" i="21" s="1"/>
  <c r="X15" i="21"/>
  <c r="X14" i="21"/>
  <c r="X13" i="21"/>
  <c r="V10" i="21"/>
  <c r="U10" i="21"/>
  <c r="T10" i="21"/>
  <c r="S10" i="21"/>
  <c r="R10" i="21"/>
  <c r="Q10" i="21"/>
  <c r="P10" i="21"/>
  <c r="O10" i="21"/>
  <c r="N10" i="21"/>
  <c r="M10" i="21"/>
  <c r="L10" i="21"/>
  <c r="K10" i="21"/>
  <c r="J10" i="21"/>
  <c r="I10" i="21"/>
  <c r="H10" i="21"/>
  <c r="G10" i="21"/>
  <c r="F10" i="21"/>
  <c r="E10" i="21"/>
  <c r="D10" i="21"/>
  <c r="W7" i="21"/>
  <c r="V7" i="21"/>
  <c r="U7" i="21"/>
  <c r="T7" i="21"/>
  <c r="S7" i="21"/>
  <c r="R7" i="21"/>
  <c r="Q7" i="21"/>
  <c r="P7" i="21"/>
  <c r="O7" i="21"/>
  <c r="N7" i="21"/>
  <c r="M7" i="21"/>
  <c r="L7" i="21"/>
  <c r="K7" i="21"/>
  <c r="J7" i="21"/>
  <c r="I7" i="21"/>
  <c r="H7" i="21"/>
  <c r="G7" i="21"/>
  <c r="F7" i="21"/>
  <c r="E7" i="21"/>
  <c r="D7" i="21"/>
  <c r="X6" i="21"/>
  <c r="C6" i="21" a="1"/>
  <c r="C6" i="21" s="1"/>
  <c r="C5" i="21" a="1"/>
  <c r="C5" i="21" s="1"/>
  <c r="I31" i="20"/>
  <c r="C6" i="20" a="1"/>
  <c r="C6" i="20" s="1"/>
  <c r="E7" i="20"/>
  <c r="F7" i="20"/>
  <c r="G7" i="20"/>
  <c r="D7" i="20"/>
  <c r="D59" i="20"/>
  <c r="D58" i="20"/>
  <c r="D57" i="20"/>
  <c r="D56" i="20"/>
  <c r="D52" i="20"/>
  <c r="D53" i="20" s="1"/>
  <c r="D47" i="20"/>
  <c r="D48" i="20" s="1"/>
  <c r="D43" i="20"/>
  <c r="D42" i="20"/>
  <c r="D41" i="20"/>
  <c r="D40" i="20"/>
  <c r="M39" i="20"/>
  <c r="P39" i="20" s="1"/>
  <c r="P38" i="20"/>
  <c r="P37" i="20"/>
  <c r="O37" i="20"/>
  <c r="D37" i="20"/>
  <c r="D38" i="20" s="1"/>
  <c r="P36" i="20"/>
  <c r="P35" i="20"/>
  <c r="O35" i="20"/>
  <c r="O40" i="20" s="1"/>
  <c r="N40" i="20" s="1"/>
  <c r="P34" i="20"/>
  <c r="P33" i="20"/>
  <c r="O33" i="20"/>
  <c r="F31" i="20"/>
  <c r="C25" i="20" a="1"/>
  <c r="C25" i="20" s="1"/>
  <c r="X23" i="20"/>
  <c r="X21" i="20"/>
  <c r="X20" i="20"/>
  <c r="X19" i="20"/>
  <c r="C19" i="20" a="1"/>
  <c r="C19" i="20" s="1"/>
  <c r="C31" i="20" s="1"/>
  <c r="X15" i="20"/>
  <c r="X14" i="20"/>
  <c r="X13" i="20"/>
  <c r="V10" i="20"/>
  <c r="U10" i="20"/>
  <c r="T10" i="20"/>
  <c r="S10" i="20"/>
  <c r="R10" i="20"/>
  <c r="Q10" i="20"/>
  <c r="P10" i="20"/>
  <c r="O10" i="20"/>
  <c r="N10" i="20"/>
  <c r="M10" i="20"/>
  <c r="L10" i="20"/>
  <c r="K10" i="20"/>
  <c r="J10" i="20"/>
  <c r="I10" i="20"/>
  <c r="H10" i="20"/>
  <c r="G10" i="20"/>
  <c r="F10" i="20"/>
  <c r="E10" i="20"/>
  <c r="D10" i="20"/>
  <c r="W7" i="20"/>
  <c r="V7" i="20"/>
  <c r="U7" i="20"/>
  <c r="T7" i="20"/>
  <c r="S7" i="20"/>
  <c r="R7" i="20"/>
  <c r="Q7" i="20"/>
  <c r="P7" i="20"/>
  <c r="O7" i="20"/>
  <c r="N7" i="20"/>
  <c r="M7" i="20"/>
  <c r="L7" i="20"/>
  <c r="K7" i="20"/>
  <c r="J7" i="20"/>
  <c r="I7" i="20"/>
  <c r="H7" i="20"/>
  <c r="X6" i="20"/>
  <c r="C5" i="20" a="1"/>
  <c r="C5" i="20" s="1"/>
  <c r="N5" i="13"/>
  <c r="N9" i="13" s="1"/>
  <c r="I4" i="13"/>
  <c r="K4" i="13" a="1"/>
  <c r="K4" i="13" s="1"/>
  <c r="K5" i="13" s="1"/>
  <c r="K22" i="13" s="1"/>
  <c r="O4" i="13"/>
  <c r="Q90" i="2"/>
  <c r="G90" i="2"/>
  <c r="F90" i="2"/>
  <c r="K90" i="2" a="1"/>
  <c r="K90" i="2" s="1"/>
  <c r="K89" i="2" a="1"/>
  <c r="K89" i="2" s="1"/>
  <c r="Q89" i="2"/>
  <c r="H89" i="2"/>
  <c r="I89" i="2" s="1"/>
  <c r="J89" i="2" s="1"/>
  <c r="F64" i="19"/>
  <c r="E63" i="19"/>
  <c r="F63" i="19" s="1"/>
  <c r="H34" i="13"/>
  <c r="I34" i="13" s="1"/>
  <c r="P38" i="17"/>
  <c r="P36" i="17"/>
  <c r="P38" i="19"/>
  <c r="P36" i="19"/>
  <c r="D59" i="19"/>
  <c r="D58" i="19"/>
  <c r="D57" i="19"/>
  <c r="D56" i="19"/>
  <c r="E52" i="19"/>
  <c r="E53" i="19" s="1"/>
  <c r="D52" i="19"/>
  <c r="D53" i="19" s="1"/>
  <c r="D48" i="19"/>
  <c r="E47" i="19"/>
  <c r="E48" i="19" s="1"/>
  <c r="D47" i="19"/>
  <c r="D43" i="19"/>
  <c r="G43" i="19" s="1"/>
  <c r="D42" i="19"/>
  <c r="G42" i="19" s="1"/>
  <c r="D41" i="19"/>
  <c r="G41" i="19" s="1"/>
  <c r="D40" i="19"/>
  <c r="G40" i="19" s="1"/>
  <c r="M39" i="19"/>
  <c r="P39" i="19" s="1"/>
  <c r="D38" i="19"/>
  <c r="P37" i="19"/>
  <c r="O37" i="19"/>
  <c r="E37" i="19"/>
  <c r="E38" i="19" s="1"/>
  <c r="D37" i="19"/>
  <c r="P35" i="19"/>
  <c r="O35" i="19"/>
  <c r="P34" i="19"/>
  <c r="P33" i="19"/>
  <c r="O33" i="19"/>
  <c r="E33" i="19"/>
  <c r="H32" i="19"/>
  <c r="H52" i="19" s="1"/>
  <c r="H53" i="19" s="1"/>
  <c r="F32" i="19"/>
  <c r="F37" i="19" s="1"/>
  <c r="F38" i="19" s="1"/>
  <c r="I31" i="19"/>
  <c r="I32" i="19" s="1"/>
  <c r="F31" i="19"/>
  <c r="E31" i="19"/>
  <c r="D31" i="19"/>
  <c r="C25" i="19" a="1"/>
  <c r="C25" i="19" s="1"/>
  <c r="X23" i="19"/>
  <c r="X21" i="19"/>
  <c r="X20" i="19"/>
  <c r="X19" i="19"/>
  <c r="C19" i="19" a="1"/>
  <c r="C19" i="19" s="1"/>
  <c r="C31" i="19" s="1"/>
  <c r="X15" i="19"/>
  <c r="X14" i="19"/>
  <c r="X13" i="19"/>
  <c r="V10" i="19"/>
  <c r="U10" i="19"/>
  <c r="T10" i="19"/>
  <c r="S10" i="19"/>
  <c r="R10" i="19"/>
  <c r="Q10" i="19"/>
  <c r="P10" i="19"/>
  <c r="O10" i="19"/>
  <c r="N10" i="19"/>
  <c r="M10" i="19"/>
  <c r="L10" i="19"/>
  <c r="K10" i="19"/>
  <c r="J10" i="19"/>
  <c r="I10" i="19"/>
  <c r="H10" i="19"/>
  <c r="G10" i="19"/>
  <c r="F10" i="19"/>
  <c r="E10" i="19"/>
  <c r="D10" i="19"/>
  <c r="W7" i="19"/>
  <c r="V7" i="19"/>
  <c r="U7" i="19"/>
  <c r="T7" i="19"/>
  <c r="S7" i="19"/>
  <c r="R7" i="19"/>
  <c r="Q7" i="19"/>
  <c r="P7" i="19"/>
  <c r="O7" i="19"/>
  <c r="N7" i="19"/>
  <c r="M7" i="19"/>
  <c r="L7" i="19"/>
  <c r="K7" i="19"/>
  <c r="J7" i="19"/>
  <c r="I7" i="19"/>
  <c r="H7" i="19"/>
  <c r="G7" i="19"/>
  <c r="F7" i="19"/>
  <c r="E7" i="19"/>
  <c r="D7" i="19"/>
  <c r="X6" i="19"/>
  <c r="C6" i="19" a="1"/>
  <c r="C6" i="19" s="1"/>
  <c r="C5" i="19" a="1"/>
  <c r="C5" i="19" s="1"/>
  <c r="F15" i="18"/>
  <c r="G15" i="18"/>
  <c r="E15" i="18"/>
  <c r="I31" i="16"/>
  <c r="I31" i="17"/>
  <c r="I32" i="17" s="1"/>
  <c r="O40" i="17"/>
  <c r="P37" i="17"/>
  <c r="O37" i="17"/>
  <c r="D59" i="17"/>
  <c r="D58" i="17"/>
  <c r="D57" i="17"/>
  <c r="D56" i="17"/>
  <c r="D43" i="17"/>
  <c r="G43" i="17" s="1"/>
  <c r="D42" i="17"/>
  <c r="G42" i="17" s="1"/>
  <c r="D41" i="17"/>
  <c r="G41" i="17" s="1"/>
  <c r="D40" i="17"/>
  <c r="G40" i="17" s="1"/>
  <c r="M39" i="17"/>
  <c r="P39" i="17" s="1"/>
  <c r="P35" i="17"/>
  <c r="O35" i="17"/>
  <c r="P34" i="17"/>
  <c r="P33" i="17"/>
  <c r="O33" i="17"/>
  <c r="H32" i="17"/>
  <c r="H47" i="17" s="1"/>
  <c r="H48" i="17" s="1"/>
  <c r="C25" i="17" a="1"/>
  <c r="C25" i="17" s="1"/>
  <c r="X23" i="17"/>
  <c r="X21" i="17"/>
  <c r="X20" i="17"/>
  <c r="C19" i="17" a="1"/>
  <c r="C19" i="17" s="1"/>
  <c r="C31" i="17" s="1"/>
  <c r="X15" i="17"/>
  <c r="X14" i="17"/>
  <c r="X13" i="17"/>
  <c r="V10" i="17"/>
  <c r="U10" i="17"/>
  <c r="T10" i="17"/>
  <c r="S10" i="17"/>
  <c r="R10" i="17"/>
  <c r="Q10" i="17"/>
  <c r="P10" i="17"/>
  <c r="O10" i="17"/>
  <c r="N10" i="17"/>
  <c r="M10" i="17"/>
  <c r="L10" i="17"/>
  <c r="K10" i="17"/>
  <c r="J10" i="17"/>
  <c r="I10" i="17"/>
  <c r="H10" i="17"/>
  <c r="G10" i="17"/>
  <c r="F10" i="17"/>
  <c r="E10" i="17"/>
  <c r="D10" i="17"/>
  <c r="W7" i="17"/>
  <c r="V7" i="17"/>
  <c r="U7" i="17"/>
  <c r="T7" i="17"/>
  <c r="S7" i="17"/>
  <c r="R7" i="17"/>
  <c r="Q7" i="17"/>
  <c r="P7" i="17"/>
  <c r="O7" i="17"/>
  <c r="N7" i="17"/>
  <c r="M7" i="17"/>
  <c r="L7" i="17"/>
  <c r="K7" i="17"/>
  <c r="J7" i="17"/>
  <c r="I7" i="17"/>
  <c r="H7" i="17"/>
  <c r="G7" i="17"/>
  <c r="F7" i="17"/>
  <c r="E7" i="17"/>
  <c r="D7" i="17"/>
  <c r="X6" i="17"/>
  <c r="C6" i="17" a="1"/>
  <c r="C6" i="17" s="1"/>
  <c r="C5" i="17" a="1"/>
  <c r="C5" i="17" s="1"/>
  <c r="H87" i="2"/>
  <c r="I87" i="2" s="1"/>
  <c r="K87" i="2" a="1"/>
  <c r="K87" i="2" s="1"/>
  <c r="Q87" i="2"/>
  <c r="H88" i="2"/>
  <c r="I88" i="2" s="1"/>
  <c r="K88" i="2" a="1"/>
  <c r="K88" i="2" s="1"/>
  <c r="Q88" i="2"/>
  <c r="G12" i="13"/>
  <c r="F12" i="13" s="1"/>
  <c r="H86" i="2"/>
  <c r="I86" i="2" s="1"/>
  <c r="J86" i="2" s="1"/>
  <c r="H85" i="2"/>
  <c r="I85" i="2" s="1"/>
  <c r="K86" i="2" a="1"/>
  <c r="K86" i="2" s="1"/>
  <c r="Q86" i="2"/>
  <c r="H84" i="2"/>
  <c r="I84" i="2" s="1"/>
  <c r="K84" i="2" a="1"/>
  <c r="K84" i="2" s="1"/>
  <c r="Q84" i="2"/>
  <c r="K85" i="2" a="1"/>
  <c r="K85" i="2" s="1"/>
  <c r="Q85" i="2"/>
  <c r="Q83" i="2"/>
  <c r="K83" i="2" a="1"/>
  <c r="K83" i="2" s="1"/>
  <c r="H83" i="2"/>
  <c r="I83" i="2" s="1"/>
  <c r="F16" i="11"/>
  <c r="H82" i="2"/>
  <c r="K82" i="2" a="1"/>
  <c r="K82" i="2" s="1"/>
  <c r="Q82" i="2"/>
  <c r="I5" i="13"/>
  <c r="G43" i="16"/>
  <c r="M37" i="16"/>
  <c r="P37" i="16" s="1"/>
  <c r="P36" i="16"/>
  <c r="P34" i="16"/>
  <c r="O21" i="13"/>
  <c r="P35" i="16"/>
  <c r="P33" i="16"/>
  <c r="O35" i="16"/>
  <c r="O33" i="16"/>
  <c r="H81" i="2"/>
  <c r="I81" i="2" s="1"/>
  <c r="J81" i="2" s="1"/>
  <c r="K81" i="2" a="1"/>
  <c r="K81" i="2" s="1"/>
  <c r="Q81" i="2"/>
  <c r="D59" i="16"/>
  <c r="D57" i="16"/>
  <c r="D58" i="16"/>
  <c r="D56" i="16"/>
  <c r="D43" i="16"/>
  <c r="D41" i="16"/>
  <c r="G41" i="16" s="1"/>
  <c r="D42" i="16"/>
  <c r="G42" i="16" s="1"/>
  <c r="D40" i="16"/>
  <c r="G40" i="16" s="1"/>
  <c r="I32" i="16"/>
  <c r="I37" i="16" s="1"/>
  <c r="I38" i="16" s="1"/>
  <c r="H32" i="16"/>
  <c r="H47" i="16" s="1"/>
  <c r="H48" i="16" s="1"/>
  <c r="C25" i="16" a="1"/>
  <c r="C25" i="16" s="1"/>
  <c r="I9" i="13"/>
  <c r="J9" i="13" s="1"/>
  <c r="I10" i="13"/>
  <c r="J10" i="13" s="1"/>
  <c r="Q80" i="2"/>
  <c r="H80" i="2"/>
  <c r="I80" i="2" s="1"/>
  <c r="J80" i="2" s="1"/>
  <c r="K80" i="2" a="1"/>
  <c r="K80" i="2" s="1"/>
  <c r="O23" i="13"/>
  <c r="O24" i="13"/>
  <c r="I225" i="2"/>
  <c r="E10" i="16"/>
  <c r="F10" i="16"/>
  <c r="G10" i="16"/>
  <c r="H10" i="16"/>
  <c r="I10" i="16"/>
  <c r="J10" i="16"/>
  <c r="K10" i="16"/>
  <c r="L10" i="16"/>
  <c r="M10" i="16"/>
  <c r="N10" i="16"/>
  <c r="O10" i="16"/>
  <c r="P10" i="16"/>
  <c r="Q10" i="16"/>
  <c r="R10" i="16"/>
  <c r="S10" i="16"/>
  <c r="T10" i="16"/>
  <c r="U10" i="16"/>
  <c r="V10" i="16"/>
  <c r="D10" i="16"/>
  <c r="X15" i="16"/>
  <c r="X14" i="16"/>
  <c r="X13" i="16"/>
  <c r="X21" i="16"/>
  <c r="X20" i="16"/>
  <c r="X23" i="16"/>
  <c r="X6" i="16"/>
  <c r="C19" i="16" a="1"/>
  <c r="C19" i="16" s="1"/>
  <c r="C31" i="16" s="1"/>
  <c r="C6" i="16" a="1"/>
  <c r="C6" i="16" s="1"/>
  <c r="C5" i="16" a="1"/>
  <c r="C5" i="16" s="1"/>
  <c r="E7" i="16"/>
  <c r="F7" i="16"/>
  <c r="G7" i="16"/>
  <c r="H7" i="16"/>
  <c r="I7" i="16"/>
  <c r="J7" i="16"/>
  <c r="K7" i="16"/>
  <c r="L7" i="16"/>
  <c r="M7" i="16"/>
  <c r="N7" i="16"/>
  <c r="O7" i="16"/>
  <c r="P7" i="16"/>
  <c r="Q7" i="16"/>
  <c r="R7" i="16"/>
  <c r="S7" i="16"/>
  <c r="T7" i="16"/>
  <c r="U7" i="16"/>
  <c r="V7" i="16"/>
  <c r="W7" i="16"/>
  <c r="D7" i="16"/>
  <c r="E19" i="16"/>
  <c r="F19" i="16"/>
  <c r="G19" i="16"/>
  <c r="H19" i="16"/>
  <c r="I19" i="16"/>
  <c r="J19" i="16"/>
  <c r="K19" i="16"/>
  <c r="L19" i="16"/>
  <c r="M19" i="16"/>
  <c r="N19" i="16"/>
  <c r="O19" i="16"/>
  <c r="P19" i="16"/>
  <c r="Q19" i="16"/>
  <c r="R19" i="16"/>
  <c r="S19" i="16"/>
  <c r="T19" i="16"/>
  <c r="U19" i="16"/>
  <c r="V19" i="16"/>
  <c r="W19" i="16"/>
  <c r="D19" i="16"/>
  <c r="E13" i="2"/>
  <c r="Q79" i="2"/>
  <c r="K77" i="2" a="1"/>
  <c r="K77" i="2" s="1"/>
  <c r="K78" i="2" a="1"/>
  <c r="K78" i="2" s="1"/>
  <c r="Q77" i="2"/>
  <c r="Q78" i="2"/>
  <c r="E35" i="11"/>
  <c r="E32" i="11" s="1"/>
  <c r="F51" i="11"/>
  <c r="G51" i="11"/>
  <c r="H51" i="11"/>
  <c r="I51" i="11"/>
  <c r="J51" i="11"/>
  <c r="K51" i="11"/>
  <c r="E51" i="11"/>
  <c r="F48" i="11"/>
  <c r="G48" i="11"/>
  <c r="H48" i="11"/>
  <c r="I48" i="11"/>
  <c r="J48" i="11"/>
  <c r="K48" i="11"/>
  <c r="E48" i="11"/>
  <c r="F46" i="11"/>
  <c r="G46" i="11"/>
  <c r="H46" i="11"/>
  <c r="I46" i="11"/>
  <c r="J46" i="11"/>
  <c r="K46" i="11"/>
  <c r="E46" i="11"/>
  <c r="J46" i="8"/>
  <c r="H46" i="8"/>
  <c r="D150" i="8"/>
  <c r="Q76" i="2"/>
  <c r="J45" i="8"/>
  <c r="K45" i="8" s="1"/>
  <c r="D149" i="8"/>
  <c r="J44" i="8"/>
  <c r="K44" i="8" s="1"/>
  <c r="J27" i="8"/>
  <c r="J25" i="8"/>
  <c r="K25" i="8" s="1"/>
  <c r="Q25" i="8" s="1"/>
  <c r="J18" i="8"/>
  <c r="K18" i="8" s="1"/>
  <c r="Q18" i="8" s="1"/>
  <c r="J17" i="8"/>
  <c r="K17" i="8" s="1"/>
  <c r="L17" i="8" s="1"/>
  <c r="J16" i="8"/>
  <c r="K16" i="8" s="1"/>
  <c r="Q16" i="8" s="1"/>
  <c r="P41" i="8"/>
  <c r="E37" i="11"/>
  <c r="J41" i="8"/>
  <c r="K41" i="8" s="1"/>
  <c r="D148" i="8"/>
  <c r="J43" i="8"/>
  <c r="K43" i="8" s="1"/>
  <c r="J42" i="8"/>
  <c r="K42" i="8" s="1"/>
  <c r="J40" i="8"/>
  <c r="H40" i="8"/>
  <c r="J39" i="8"/>
  <c r="H39" i="8"/>
  <c r="Q75" i="2"/>
  <c r="K75" i="2" a="1"/>
  <c r="K75" i="2" s="1"/>
  <c r="D147" i="8"/>
  <c r="J38" i="8"/>
  <c r="K38" i="8" s="1"/>
  <c r="Q38" i="8" s="1"/>
  <c r="E163" i="8" s="1"/>
  <c r="J37" i="8"/>
  <c r="K37" i="8" s="1"/>
  <c r="J36" i="8"/>
  <c r="K36" i="8" s="1"/>
  <c r="J35" i="8"/>
  <c r="K35" i="8" s="1"/>
  <c r="D146" i="8"/>
  <c r="J34" i="8"/>
  <c r="K34" i="8" s="1"/>
  <c r="J33" i="8"/>
  <c r="K33" i="8" s="1"/>
  <c r="D145" i="8"/>
  <c r="D144" i="8"/>
  <c r="D143" i="8"/>
  <c r="D142" i="8"/>
  <c r="D141" i="8"/>
  <c r="D140" i="8"/>
  <c r="D139" i="8"/>
  <c r="J32" i="8"/>
  <c r="K32" i="8" s="1"/>
  <c r="J31" i="8"/>
  <c r="K31" i="8" s="1"/>
  <c r="J29" i="8"/>
  <c r="K29" i="8" s="1"/>
  <c r="J30" i="8"/>
  <c r="K30" i="8" s="1"/>
  <c r="Q30" i="8" s="1"/>
  <c r="K10" i="11"/>
  <c r="Q74" i="2"/>
  <c r="K74" i="2" a="1"/>
  <c r="K74" i="2" s="1"/>
  <c r="H74" i="2"/>
  <c r="I74" i="2" s="1"/>
  <c r="Q73" i="2"/>
  <c r="K73" i="2" a="1"/>
  <c r="K73" i="2" s="1"/>
  <c r="J28" i="8"/>
  <c r="K28" i="8" s="1"/>
  <c r="N28" i="8" s="1"/>
  <c r="Q72" i="2"/>
  <c r="K72" i="2" a="1"/>
  <c r="K72" i="2" s="1"/>
  <c r="H70" i="2"/>
  <c r="H71" i="2"/>
  <c r="H30" i="2"/>
  <c r="H34" i="2"/>
  <c r="J26" i="8"/>
  <c r="K26" i="8" s="1"/>
  <c r="J13" i="8"/>
  <c r="J14" i="8"/>
  <c r="K14" i="8" s="1"/>
  <c r="J24" i="8"/>
  <c r="K24" i="8" s="1"/>
  <c r="J23" i="8"/>
  <c r="K23" i="8" s="1"/>
  <c r="Q23" i="8" s="1"/>
  <c r="J22" i="8"/>
  <c r="K22" i="8" s="1"/>
  <c r="Q22" i="8" s="1"/>
  <c r="J21" i="8"/>
  <c r="K21" i="8" s="1"/>
  <c r="J20" i="8"/>
  <c r="K20" i="8" s="1"/>
  <c r="J19" i="8"/>
  <c r="K19" i="8" s="1"/>
  <c r="J15" i="8"/>
  <c r="K15" i="8" s="1"/>
  <c r="L15" i="8" s="1"/>
  <c r="J10" i="8"/>
  <c r="K10" i="8" s="1"/>
  <c r="J11" i="8"/>
  <c r="K11" i="8" s="1"/>
  <c r="J12" i="8"/>
  <c r="K12" i="8" s="1"/>
  <c r="J9" i="8"/>
  <c r="K9" i="8" s="1"/>
  <c r="J8" i="8"/>
  <c r="J5" i="8"/>
  <c r="J6" i="8"/>
  <c r="J7" i="8"/>
  <c r="J4" i="8"/>
  <c r="Q71" i="2"/>
  <c r="K71" i="2" a="1"/>
  <c r="K71" i="2" s="1"/>
  <c r="Q70" i="2"/>
  <c r="K70" i="2" a="1"/>
  <c r="K70" i="2" s="1"/>
  <c r="K13" i="8" l="1"/>
  <c r="Q13" i="8" s="1"/>
  <c r="J129" i="8"/>
  <c r="R13" i="28"/>
  <c r="R19" i="28" s="1"/>
  <c r="I5" i="28"/>
  <c r="J5" i="28" s="1"/>
  <c r="D5" i="27"/>
  <c r="T230" i="27"/>
  <c r="E12" i="27"/>
  <c r="H6" i="27"/>
  <c r="F6" i="27"/>
  <c r="G18" i="2"/>
  <c r="L257" i="2"/>
  <c r="M257" i="2" s="1"/>
  <c r="K258" i="2"/>
  <c r="L258" i="2" s="1"/>
  <c r="M258" i="2" s="1"/>
  <c r="M13" i="25"/>
  <c r="K32" i="24"/>
  <c r="I312" i="2"/>
  <c r="M11" i="25"/>
  <c r="E32" i="20"/>
  <c r="E37" i="20" s="1"/>
  <c r="E38" i="20" s="1"/>
  <c r="M17" i="25"/>
  <c r="P5" i="22"/>
  <c r="Q5" i="22" s="1"/>
  <c r="M14" i="25"/>
  <c r="M12" i="25"/>
  <c r="M16" i="25"/>
  <c r="P23" i="25"/>
  <c r="J23" i="25"/>
  <c r="J22" i="25"/>
  <c r="P22" i="25"/>
  <c r="P24" i="25"/>
  <c r="J24" i="25"/>
  <c r="P20" i="25"/>
  <c r="J20" i="25"/>
  <c r="L20" i="25"/>
  <c r="J21" i="25"/>
  <c r="P21" i="25"/>
  <c r="P19" i="25"/>
  <c r="J19" i="25"/>
  <c r="L19" i="25"/>
  <c r="N9" i="25"/>
  <c r="L9" i="25"/>
  <c r="M9" i="25" s="1"/>
  <c r="L22" i="25"/>
  <c r="P8" i="25"/>
  <c r="Q8" i="25" s="1"/>
  <c r="O8" i="25"/>
  <c r="L23" i="25"/>
  <c r="L21" i="25"/>
  <c r="M15" i="25"/>
  <c r="L24" i="25"/>
  <c r="O154" i="8"/>
  <c r="F25" i="24"/>
  <c r="L96" i="2"/>
  <c r="H95" i="2"/>
  <c r="I95" i="2" s="1"/>
  <c r="N49" i="8"/>
  <c r="L48" i="8"/>
  <c r="N48" i="8"/>
  <c r="N47" i="8"/>
  <c r="L93" i="2"/>
  <c r="J93" i="2"/>
  <c r="I52" i="17"/>
  <c r="I53" i="17" s="1"/>
  <c r="N40" i="17"/>
  <c r="C5" i="13"/>
  <c r="L92" i="2"/>
  <c r="J92" i="2"/>
  <c r="P9" i="22"/>
  <c r="Q9" i="22" s="1"/>
  <c r="Q8" i="22"/>
  <c r="J7" i="22"/>
  <c r="Q7" i="22" s="1"/>
  <c r="P6" i="22"/>
  <c r="Q6" i="22" s="1"/>
  <c r="F18" i="22"/>
  <c r="F17" i="22"/>
  <c r="I17" i="22" s="1"/>
  <c r="F13" i="22"/>
  <c r="F14" i="22"/>
  <c r="F15" i="22"/>
  <c r="I12" i="22"/>
  <c r="F16" i="22"/>
  <c r="H15" i="22"/>
  <c r="H13" i="22"/>
  <c r="H14" i="22"/>
  <c r="H16" i="22"/>
  <c r="H18" i="22"/>
  <c r="H17" i="22"/>
  <c r="K21" i="22"/>
  <c r="K6" i="22"/>
  <c r="L6" i="22" s="1"/>
  <c r="M6" i="22" s="1"/>
  <c r="K5" i="22"/>
  <c r="C5" i="22"/>
  <c r="K7" i="22"/>
  <c r="L7" i="22" s="1"/>
  <c r="K8" i="22"/>
  <c r="L8" i="22" s="1"/>
  <c r="M8" i="22" s="1"/>
  <c r="L4" i="22"/>
  <c r="K20" i="22"/>
  <c r="K12" i="22"/>
  <c r="O6" i="22"/>
  <c r="G17" i="22"/>
  <c r="J4" i="22"/>
  <c r="Q4" i="22" s="1"/>
  <c r="G15" i="22"/>
  <c r="O9" i="22"/>
  <c r="J94" i="2"/>
  <c r="I90" i="2"/>
  <c r="J90" i="2" s="1"/>
  <c r="J91" i="2"/>
  <c r="L91" i="2"/>
  <c r="K7" i="13"/>
  <c r="L7" i="13" s="1"/>
  <c r="M7" i="13" s="1"/>
  <c r="K6" i="13"/>
  <c r="L6" i="13" s="1"/>
  <c r="M6" i="13" s="1"/>
  <c r="P7" i="13"/>
  <c r="Q7" i="13" s="1"/>
  <c r="K8" i="13"/>
  <c r="L8" i="13" s="1"/>
  <c r="M8" i="13" s="1"/>
  <c r="P6" i="13"/>
  <c r="Q6" i="13" s="1"/>
  <c r="P8" i="13"/>
  <c r="Q8" i="13" s="1"/>
  <c r="H12" i="13"/>
  <c r="D22" i="20"/>
  <c r="I32" i="20" s="1"/>
  <c r="O40" i="21"/>
  <c r="N40" i="21" s="1"/>
  <c r="X10" i="21"/>
  <c r="F52" i="21"/>
  <c r="F53" i="21" s="1"/>
  <c r="G32" i="21"/>
  <c r="F33" i="21"/>
  <c r="F37" i="21"/>
  <c r="F38" i="21" s="1"/>
  <c r="F47" i="21"/>
  <c r="F48" i="21" s="1"/>
  <c r="I37" i="21"/>
  <c r="I38" i="21" s="1"/>
  <c r="I47" i="21"/>
  <c r="I48" i="21" s="1"/>
  <c r="I33" i="21"/>
  <c r="I52" i="21"/>
  <c r="I53" i="21" s="1"/>
  <c r="C32" i="21"/>
  <c r="C31" i="21" s="1"/>
  <c r="C7" i="21"/>
  <c r="N39" i="21"/>
  <c r="O39" i="21" s="1"/>
  <c r="H52" i="21"/>
  <c r="H53" i="21" s="1"/>
  <c r="H47" i="21"/>
  <c r="H48" i="21" s="1"/>
  <c r="X10" i="20"/>
  <c r="N39" i="20"/>
  <c r="O39" i="20" s="1"/>
  <c r="C32" i="20"/>
  <c r="C7" i="20"/>
  <c r="J4" i="13"/>
  <c r="P4" i="13"/>
  <c r="L4" i="13"/>
  <c r="L89" i="2"/>
  <c r="M89" i="2" s="1"/>
  <c r="O40" i="19"/>
  <c r="N40" i="19" s="1"/>
  <c r="H33" i="19"/>
  <c r="H37" i="19"/>
  <c r="H38" i="19" s="1"/>
  <c r="X10" i="19"/>
  <c r="N39" i="19"/>
  <c r="O39" i="19" s="1"/>
  <c r="C7" i="19"/>
  <c r="C32" i="19"/>
  <c r="I52" i="19"/>
  <c r="I53" i="19" s="1"/>
  <c r="I33" i="19"/>
  <c r="I47" i="19"/>
  <c r="I48" i="19" s="1"/>
  <c r="I37" i="19"/>
  <c r="I38" i="19" s="1"/>
  <c r="G32" i="19"/>
  <c r="F47" i="19"/>
  <c r="F48" i="19" s="1"/>
  <c r="H47" i="19"/>
  <c r="H48" i="19" s="1"/>
  <c r="F52" i="19"/>
  <c r="F53" i="19" s="1"/>
  <c r="F33" i="19"/>
  <c r="H37" i="17"/>
  <c r="H38" i="17" s="1"/>
  <c r="I37" i="17"/>
  <c r="I38" i="17" s="1"/>
  <c r="X10" i="17"/>
  <c r="X19" i="17"/>
  <c r="C7" i="17"/>
  <c r="C32" i="17"/>
  <c r="N39" i="17"/>
  <c r="O39" i="17" s="1"/>
  <c r="F31" i="17"/>
  <c r="F32" i="17" s="1"/>
  <c r="I47" i="17"/>
  <c r="I48" i="17" s="1"/>
  <c r="H52" i="17"/>
  <c r="H53" i="17" s="1"/>
  <c r="K12" i="13"/>
  <c r="L88" i="2"/>
  <c r="J88" i="2"/>
  <c r="J87" i="2"/>
  <c r="L87" i="2"/>
  <c r="L86" i="2"/>
  <c r="M86" i="2" s="1"/>
  <c r="L85" i="2"/>
  <c r="J85" i="2"/>
  <c r="J84" i="2"/>
  <c r="L84" i="2"/>
  <c r="L83" i="2"/>
  <c r="J83" i="2"/>
  <c r="C32" i="16"/>
  <c r="N37" i="16"/>
  <c r="O37" i="16" s="1"/>
  <c r="O38" i="16"/>
  <c r="N38" i="16" s="1"/>
  <c r="O22" i="13" s="1"/>
  <c r="H52" i="16"/>
  <c r="H53" i="16" s="1"/>
  <c r="K14" i="13"/>
  <c r="L81" i="2"/>
  <c r="O25" i="13"/>
  <c r="F31" i="16"/>
  <c r="F32" i="16" s="1"/>
  <c r="F52" i="16" s="1"/>
  <c r="F53" i="16" s="1"/>
  <c r="I52" i="16"/>
  <c r="I53" i="16" s="1"/>
  <c r="H37" i="16"/>
  <c r="H38" i="16" s="1"/>
  <c r="I47" i="16"/>
  <c r="I48" i="16" s="1"/>
  <c r="G17" i="13"/>
  <c r="K18" i="13"/>
  <c r="G13" i="13"/>
  <c r="G16" i="13"/>
  <c r="G15" i="13"/>
  <c r="K20" i="13"/>
  <c r="F16" i="13"/>
  <c r="F13" i="13"/>
  <c r="F15" i="13"/>
  <c r="G18" i="13"/>
  <c r="G14" i="13"/>
  <c r="F18" i="13"/>
  <c r="L80" i="2"/>
  <c r="X10" i="16"/>
  <c r="C7" i="16"/>
  <c r="X19" i="16"/>
  <c r="J5" i="13"/>
  <c r="K46" i="8"/>
  <c r="L46" i="8" s="1"/>
  <c r="N45" i="8"/>
  <c r="L45" i="8"/>
  <c r="K40" i="8"/>
  <c r="L40" i="8" s="1"/>
  <c r="Q41" i="8"/>
  <c r="L44" i="8"/>
  <c r="Q17" i="8"/>
  <c r="R17" i="8" s="1"/>
  <c r="L41" i="8"/>
  <c r="N43" i="8"/>
  <c r="L43" i="8"/>
  <c r="N42" i="8"/>
  <c r="L42" i="8"/>
  <c r="K39" i="8"/>
  <c r="Q39" i="8" s="1"/>
  <c r="L38" i="8"/>
  <c r="R38" i="8" s="1"/>
  <c r="N37" i="8"/>
  <c r="L37" i="8"/>
  <c r="N36" i="8"/>
  <c r="L36" i="8"/>
  <c r="N35" i="8"/>
  <c r="L35" i="8"/>
  <c r="N34" i="8"/>
  <c r="L34" i="8"/>
  <c r="N33" i="8"/>
  <c r="L33" i="8"/>
  <c r="N32" i="8"/>
  <c r="L32" i="8"/>
  <c r="N31" i="8"/>
  <c r="L31" i="8"/>
  <c r="N29" i="8"/>
  <c r="L29" i="8"/>
  <c r="L30" i="8"/>
  <c r="R30" i="8" s="1"/>
  <c r="J74" i="2"/>
  <c r="L74" i="2"/>
  <c r="L28" i="8"/>
  <c r="O28" i="8" s="1"/>
  <c r="K27" i="8"/>
  <c r="L27" i="8" s="1"/>
  <c r="L26" i="8"/>
  <c r="N26" i="8"/>
  <c r="F143" i="8" s="1"/>
  <c r="L25" i="8"/>
  <c r="R25" i="8" s="1"/>
  <c r="N24" i="8"/>
  <c r="E172" i="8" s="1"/>
  <c r="L24" i="8"/>
  <c r="L23" i="8"/>
  <c r="R23" i="8" s="1"/>
  <c r="L22" i="8"/>
  <c r="R22" i="8" s="1"/>
  <c r="N21" i="8"/>
  <c r="L21" i="8"/>
  <c r="L20" i="8"/>
  <c r="N20" i="8"/>
  <c r="E171" i="8" s="1"/>
  <c r="N19" i="8"/>
  <c r="L19" i="8"/>
  <c r="L18" i="8"/>
  <c r="R18" i="8" s="1"/>
  <c r="L16" i="8"/>
  <c r="R16" i="8" s="1"/>
  <c r="N15" i="8"/>
  <c r="O15" i="8" s="1"/>
  <c r="N14" i="8"/>
  <c r="L14" i="8"/>
  <c r="L13" i="8"/>
  <c r="R13" i="8" s="1"/>
  <c r="L12" i="8"/>
  <c r="N12" i="8"/>
  <c r="L11" i="8"/>
  <c r="N11" i="8"/>
  <c r="L10" i="8"/>
  <c r="N10" i="8"/>
  <c r="N9" i="8"/>
  <c r="L9" i="8"/>
  <c r="K5" i="28" l="1"/>
  <c r="J6" i="27"/>
  <c r="E10" i="27"/>
  <c r="D13" i="27"/>
  <c r="E168" i="8"/>
  <c r="E151" i="8"/>
  <c r="E162" i="8"/>
  <c r="Q13" i="28" s="1"/>
  <c r="Q19" i="28" s="1"/>
  <c r="M96" i="2"/>
  <c r="C52" i="16"/>
  <c r="C55" i="16" s="1"/>
  <c r="C47" i="16"/>
  <c r="C48" i="16" s="1"/>
  <c r="E33" i="20"/>
  <c r="E52" i="20"/>
  <c r="E53" i="20" s="1"/>
  <c r="E47" i="20"/>
  <c r="E48" i="20" s="1"/>
  <c r="Q21" i="25"/>
  <c r="M23" i="25"/>
  <c r="M24" i="25"/>
  <c r="M20" i="25"/>
  <c r="M7" i="22"/>
  <c r="M22" i="25"/>
  <c r="M21" i="25"/>
  <c r="M19" i="25"/>
  <c r="Q19" i="25"/>
  <c r="Q22" i="25"/>
  <c r="Q20" i="25"/>
  <c r="P9" i="25"/>
  <c r="Q9" i="25" s="1"/>
  <c r="O9" i="25"/>
  <c r="Q24" i="25"/>
  <c r="Q23" i="25"/>
  <c r="M4" i="22"/>
  <c r="G25" i="24"/>
  <c r="F27" i="24"/>
  <c r="E141" i="8"/>
  <c r="O49" i="8"/>
  <c r="E153" i="8"/>
  <c r="E309" i="2"/>
  <c r="O48" i="8"/>
  <c r="E152" i="8"/>
  <c r="J95" i="2"/>
  <c r="L95" i="2"/>
  <c r="O47" i="8"/>
  <c r="M93" i="2"/>
  <c r="M92" i="2"/>
  <c r="L12" i="22"/>
  <c r="I16" i="22"/>
  <c r="J12" i="22"/>
  <c r="F20" i="22"/>
  <c r="I20" i="22" s="1"/>
  <c r="L20" i="22" s="1"/>
  <c r="K25" i="22"/>
  <c r="K22" i="22"/>
  <c r="L5" i="22"/>
  <c r="M5" i="22" s="1"/>
  <c r="K23" i="22"/>
  <c r="K9" i="22"/>
  <c r="I15" i="22"/>
  <c r="I14" i="22"/>
  <c r="I13" i="22"/>
  <c r="F25" i="22"/>
  <c r="I25" i="22" s="1"/>
  <c r="L17" i="22"/>
  <c r="J17" i="22"/>
  <c r="I18" i="22"/>
  <c r="M94" i="2"/>
  <c r="L90" i="2"/>
  <c r="M90" i="2" s="1"/>
  <c r="M91" i="2"/>
  <c r="G43" i="20"/>
  <c r="G42" i="20"/>
  <c r="G41" i="20"/>
  <c r="F32" i="20"/>
  <c r="F47" i="20" s="1"/>
  <c r="F48" i="20" s="1"/>
  <c r="I52" i="20"/>
  <c r="I53" i="20" s="1"/>
  <c r="I33" i="20"/>
  <c r="I37" i="20"/>
  <c r="I38" i="20" s="1"/>
  <c r="I47" i="20"/>
  <c r="I48" i="20" s="1"/>
  <c r="G40" i="20"/>
  <c r="D31" i="20"/>
  <c r="H32" i="20"/>
  <c r="H52" i="20" s="1"/>
  <c r="H53" i="20" s="1"/>
  <c r="E31" i="20"/>
  <c r="C47" i="21"/>
  <c r="C48" i="21" s="1"/>
  <c r="C52" i="21"/>
  <c r="C37" i="21"/>
  <c r="C38" i="21" s="1"/>
  <c r="E34" i="21"/>
  <c r="D33" i="21"/>
  <c r="C33" i="21"/>
  <c r="G52" i="21"/>
  <c r="G53" i="21" s="1"/>
  <c r="G33" i="21"/>
  <c r="G37" i="21"/>
  <c r="G38" i="21" s="1"/>
  <c r="G47" i="21"/>
  <c r="G48" i="21" s="1"/>
  <c r="G31" i="21"/>
  <c r="C33" i="20"/>
  <c r="C47" i="20"/>
  <c r="C48" i="20" s="1"/>
  <c r="C52" i="20"/>
  <c r="E34" i="20"/>
  <c r="D33" i="20"/>
  <c r="C37" i="20"/>
  <c r="C38" i="20" s="1"/>
  <c r="M4" i="13"/>
  <c r="Q4" i="13"/>
  <c r="M87" i="2"/>
  <c r="G33" i="19"/>
  <c r="G52" i="19"/>
  <c r="G53" i="19" s="1"/>
  <c r="G47" i="19"/>
  <c r="G48" i="19" s="1"/>
  <c r="G37" i="19"/>
  <c r="G38" i="19" s="1"/>
  <c r="G31" i="19"/>
  <c r="C33" i="19"/>
  <c r="C37" i="19"/>
  <c r="C38" i="19" s="1"/>
  <c r="D33" i="19"/>
  <c r="C52" i="19"/>
  <c r="E34" i="19"/>
  <c r="C47" i="19"/>
  <c r="C48" i="19" s="1"/>
  <c r="C37" i="17"/>
  <c r="C38" i="17" s="1"/>
  <c r="C47" i="17"/>
  <c r="C48" i="17" s="1"/>
  <c r="C52" i="17"/>
  <c r="F47" i="17"/>
  <c r="F48" i="17" s="1"/>
  <c r="G32" i="17"/>
  <c r="F52" i="17"/>
  <c r="F53" i="17" s="1"/>
  <c r="F37" i="17"/>
  <c r="F38" i="17" s="1"/>
  <c r="M88" i="2"/>
  <c r="C37" i="16"/>
  <c r="C38" i="16" s="1"/>
  <c r="M84" i="2"/>
  <c r="M85" i="2"/>
  <c r="M83" i="2"/>
  <c r="M81" i="2"/>
  <c r="M80" i="2"/>
  <c r="F37" i="16"/>
  <c r="F38" i="16" s="1"/>
  <c r="G32" i="16"/>
  <c r="F47" i="16"/>
  <c r="F48" i="16" s="1"/>
  <c r="F14" i="13"/>
  <c r="F17" i="13"/>
  <c r="I12" i="13"/>
  <c r="H17" i="13"/>
  <c r="H14" i="13"/>
  <c r="H18" i="13"/>
  <c r="I18" i="13" s="1"/>
  <c r="H13" i="13"/>
  <c r="I13" i="13" s="1"/>
  <c r="H15" i="13"/>
  <c r="I15" i="13" s="1"/>
  <c r="H16" i="13"/>
  <c r="I16" i="13" s="1"/>
  <c r="K21" i="13"/>
  <c r="O20" i="13"/>
  <c r="K23" i="13"/>
  <c r="E143" i="8"/>
  <c r="F142" i="8"/>
  <c r="F141" i="8"/>
  <c r="E145" i="8"/>
  <c r="F145" i="8"/>
  <c r="E142" i="8"/>
  <c r="F140" i="8"/>
  <c r="E140" i="8"/>
  <c r="O45" i="8"/>
  <c r="R41" i="8"/>
  <c r="N40" i="8"/>
  <c r="O40" i="8" s="1"/>
  <c r="O26" i="8"/>
  <c r="L39" i="8"/>
  <c r="R39" i="8" s="1"/>
  <c r="O20" i="8"/>
  <c r="Q27" i="8"/>
  <c r="O43" i="8"/>
  <c r="O42" i="8"/>
  <c r="O37" i="8"/>
  <c r="O36" i="8"/>
  <c r="O35" i="8"/>
  <c r="O34" i="8"/>
  <c r="O33" i="8"/>
  <c r="O32" i="8"/>
  <c r="O31" i="8"/>
  <c r="O29" i="8"/>
  <c r="M74" i="2"/>
  <c r="O10" i="8"/>
  <c r="O24" i="8"/>
  <c r="O21" i="8"/>
  <c r="O19" i="8"/>
  <c r="O14" i="8"/>
  <c r="O12" i="8"/>
  <c r="O11" i="8"/>
  <c r="O9" i="8"/>
  <c r="P13" i="28" l="1"/>
  <c r="P19" i="28" s="1"/>
  <c r="E13" i="27"/>
  <c r="C5" i="28"/>
  <c r="D14" i="27"/>
  <c r="D15" i="27" s="1"/>
  <c r="C53" i="16"/>
  <c r="G31" i="24"/>
  <c r="G33" i="24"/>
  <c r="G27" i="24"/>
  <c r="G32" i="24"/>
  <c r="M95" i="2"/>
  <c r="D32" i="17"/>
  <c r="L25" i="22"/>
  <c r="J14" i="22"/>
  <c r="F22" i="22"/>
  <c r="I22" i="22" s="1"/>
  <c r="L14" i="22"/>
  <c r="M14" i="22" s="1"/>
  <c r="L22" i="22"/>
  <c r="F21" i="22"/>
  <c r="I21" i="22" s="1"/>
  <c r="L13" i="22"/>
  <c r="J13" i="22"/>
  <c r="L15" i="22"/>
  <c r="J15" i="22"/>
  <c r="F23" i="22"/>
  <c r="I23" i="22" s="1"/>
  <c r="M17" i="22"/>
  <c r="P20" i="22"/>
  <c r="J20" i="22"/>
  <c r="M20" i="22" s="1"/>
  <c r="J25" i="22"/>
  <c r="P25" i="22"/>
  <c r="Q25" i="22" s="1"/>
  <c r="L9" i="22"/>
  <c r="M9" i="22" s="1"/>
  <c r="K24" i="22"/>
  <c r="L24" i="22" s="1"/>
  <c r="K10" i="22"/>
  <c r="L18" i="22"/>
  <c r="J18" i="22"/>
  <c r="M12" i="22"/>
  <c r="F24" i="22"/>
  <c r="I24" i="22" s="1"/>
  <c r="J16" i="22"/>
  <c r="L16" i="22"/>
  <c r="M16" i="22" s="1"/>
  <c r="F33" i="20"/>
  <c r="F52" i="20"/>
  <c r="F53" i="20" s="1"/>
  <c r="I311" i="2"/>
  <c r="F37" i="20"/>
  <c r="F38" i="20" s="1"/>
  <c r="H33" i="20"/>
  <c r="H47" i="20"/>
  <c r="H48" i="20" s="1"/>
  <c r="G32" i="20"/>
  <c r="G47" i="20" s="1"/>
  <c r="G48" i="20" s="1"/>
  <c r="H37" i="20"/>
  <c r="H38" i="20" s="1"/>
  <c r="C53" i="21"/>
  <c r="C55" i="21"/>
  <c r="C53" i="20"/>
  <c r="C55" i="20"/>
  <c r="F20" i="13"/>
  <c r="I20" i="13" s="1"/>
  <c r="P20" i="13" s="1"/>
  <c r="C55" i="19"/>
  <c r="C53" i="19"/>
  <c r="G52" i="16"/>
  <c r="G53" i="16" s="1"/>
  <c r="G31" i="16"/>
  <c r="G37" i="16"/>
  <c r="G38" i="16" s="1"/>
  <c r="C55" i="17"/>
  <c r="C53" i="17"/>
  <c r="G52" i="17"/>
  <c r="G53" i="17" s="1"/>
  <c r="G47" i="17"/>
  <c r="G48" i="17" s="1"/>
  <c r="G37" i="17"/>
  <c r="G38" i="17" s="1"/>
  <c r="G31" i="17"/>
  <c r="I14" i="13"/>
  <c r="L14" i="13" s="1"/>
  <c r="G47" i="16"/>
  <c r="G48" i="16" s="1"/>
  <c r="L13" i="13"/>
  <c r="J12" i="13"/>
  <c r="I17" i="13"/>
  <c r="J17" i="13" s="1"/>
  <c r="L12" i="13"/>
  <c r="L16" i="13"/>
  <c r="F24" i="13"/>
  <c r="I24" i="13" s="1"/>
  <c r="P24" i="13" s="1"/>
  <c r="J16" i="13"/>
  <c r="J13" i="13"/>
  <c r="F21" i="13"/>
  <c r="I21" i="13" s="1"/>
  <c r="L21" i="13" s="1"/>
  <c r="J15" i="13"/>
  <c r="L15" i="13"/>
  <c r="F23" i="13"/>
  <c r="I23" i="13" s="1"/>
  <c r="J18" i="13"/>
  <c r="L18" i="13"/>
  <c r="E144" i="8"/>
  <c r="F144" i="8"/>
  <c r="F148" i="8"/>
  <c r="E148" i="8"/>
  <c r="R27" i="8"/>
  <c r="Q69" i="2"/>
  <c r="K69" i="2" a="1"/>
  <c r="K69" i="2" s="1"/>
  <c r="Q68" i="2"/>
  <c r="K68" i="2" a="1"/>
  <c r="K68" i="2" s="1"/>
  <c r="Q67" i="2"/>
  <c r="K67" i="2" a="1"/>
  <c r="K67" i="2" s="1"/>
  <c r="Q66" i="2"/>
  <c r="K66" i="2" a="1"/>
  <c r="K66" i="2" s="1"/>
  <c r="K8" i="8"/>
  <c r="Q8" i="8" s="1"/>
  <c r="Q65" i="2"/>
  <c r="K65" i="2" a="1"/>
  <c r="K65" i="2" s="1"/>
  <c r="K7" i="8"/>
  <c r="Q7" i="8" s="1"/>
  <c r="K6" i="8"/>
  <c r="Q6" i="8" s="1"/>
  <c r="K5" i="8"/>
  <c r="L5" i="8" s="1"/>
  <c r="K4" i="8"/>
  <c r="L4" i="8" s="1"/>
  <c r="D5" i="28" l="1"/>
  <c r="F136" i="8"/>
  <c r="H309" i="2"/>
  <c r="I309" i="2" s="1"/>
  <c r="I32" i="24"/>
  <c r="I33" i="24"/>
  <c r="I31" i="24"/>
  <c r="G34" i="24"/>
  <c r="M25" i="22"/>
  <c r="M15" i="22"/>
  <c r="M13" i="22"/>
  <c r="P23" i="22"/>
  <c r="J23" i="22"/>
  <c r="J21" i="22"/>
  <c r="P21" i="22"/>
  <c r="Q21" i="22" s="1"/>
  <c r="L21" i="22"/>
  <c r="M21" i="22" s="1"/>
  <c r="P24" i="22"/>
  <c r="J24" i="22"/>
  <c r="M24" i="22" s="1"/>
  <c r="N10" i="22"/>
  <c r="L10" i="22"/>
  <c r="M10" i="22" s="1"/>
  <c r="P22" i="22"/>
  <c r="J22" i="22"/>
  <c r="M22" i="22" s="1"/>
  <c r="Q20" i="22"/>
  <c r="M18" i="22"/>
  <c r="L23" i="22"/>
  <c r="G52" i="20"/>
  <c r="G53" i="20" s="1"/>
  <c r="G31" i="20"/>
  <c r="G37" i="20"/>
  <c r="G38" i="20" s="1"/>
  <c r="G33" i="20"/>
  <c r="J14" i="13"/>
  <c r="M14" i="13" s="1"/>
  <c r="L20" i="13"/>
  <c r="J20" i="13"/>
  <c r="Q20" i="13" s="1"/>
  <c r="F22" i="13"/>
  <c r="I22" i="13" s="1"/>
  <c r="J22" i="13" s="1"/>
  <c r="M13" i="13"/>
  <c r="M12" i="13"/>
  <c r="M16" i="13"/>
  <c r="M15" i="13"/>
  <c r="F25" i="13"/>
  <c r="I25" i="13" s="1"/>
  <c r="P25" i="13" s="1"/>
  <c r="L17" i="13"/>
  <c r="M17" i="13" s="1"/>
  <c r="J24" i="13"/>
  <c r="Q24" i="13" s="1"/>
  <c r="P23" i="13"/>
  <c r="J23" i="13"/>
  <c r="J21" i="13"/>
  <c r="M21" i="13" s="1"/>
  <c r="P21" i="13"/>
  <c r="L23" i="13"/>
  <c r="M18" i="13"/>
  <c r="L8" i="8"/>
  <c r="R8" i="8" s="1"/>
  <c r="L7" i="8"/>
  <c r="R7" i="8" s="1"/>
  <c r="N5" i="8"/>
  <c r="N4" i="8"/>
  <c r="L6" i="8"/>
  <c r="R6" i="8" s="1"/>
  <c r="E147" i="8" l="1"/>
  <c r="F147" i="8"/>
  <c r="F146" i="8"/>
  <c r="E146" i="8"/>
  <c r="I34" i="24"/>
  <c r="M20" i="13"/>
  <c r="Q23" i="22"/>
  <c r="Q24" i="22"/>
  <c r="M23" i="22"/>
  <c r="Q22" i="22"/>
  <c r="P10" i="22"/>
  <c r="Q10" i="22" s="1"/>
  <c r="O10" i="22"/>
  <c r="L22" i="13"/>
  <c r="M22" i="13" s="1"/>
  <c r="P22" i="13"/>
  <c r="Q22" i="13" s="1"/>
  <c r="Q23" i="13"/>
  <c r="J25" i="13"/>
  <c r="Q25" i="13" s="1"/>
  <c r="Q21" i="13"/>
  <c r="M23" i="13"/>
  <c r="F139" i="8"/>
  <c r="E139" i="8"/>
  <c r="O5" i="8"/>
  <c r="O4" i="8"/>
  <c r="H69" i="2"/>
  <c r="G82"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K64" i="2" a="1"/>
  <c r="K64" i="2" s="1"/>
  <c r="I79" i="2"/>
  <c r="K79" i="2" a="1"/>
  <c r="K79" i="2" s="1"/>
  <c r="H73" i="2"/>
  <c r="I73" i="2" s="1"/>
  <c r="F38" i="3" a="1"/>
  <c r="F38" i="3" s="1"/>
  <c r="O38" i="3" s="1"/>
  <c r="G38" i="3" a="1"/>
  <c r="G38" i="3" s="1"/>
  <c r="H38" i="3" a="1"/>
  <c r="H38" i="3" s="1"/>
  <c r="I38" i="3" a="1"/>
  <c r="I38" i="3" s="1"/>
  <c r="K63" i="2" a="1"/>
  <c r="K63" i="2" s="1"/>
  <c r="I35" i="24" l="1"/>
  <c r="K25" i="13"/>
  <c r="L25" i="13" s="1"/>
  <c r="M25" i="13" s="1"/>
  <c r="K9" i="13"/>
  <c r="K24" i="13" s="1"/>
  <c r="L24" i="13" s="1"/>
  <c r="M24" i="13" s="1"/>
  <c r="L5" i="13"/>
  <c r="M5" i="13" s="1"/>
  <c r="J79" i="2"/>
  <c r="L79" i="2"/>
  <c r="J73" i="2"/>
  <c r="L73" i="2"/>
  <c r="K10" i="13" l="1"/>
  <c r="L9" i="13"/>
  <c r="M9" i="13" s="1"/>
  <c r="O5" i="13"/>
  <c r="P5" i="13"/>
  <c r="Q5" i="13" s="1"/>
  <c r="M73" i="2"/>
  <c r="M79" i="2"/>
  <c r="K62" i="2" a="1"/>
  <c r="K62" i="2" s="1"/>
  <c r="L10" i="13" l="1"/>
  <c r="M10" i="13" s="1"/>
  <c r="N10" i="13"/>
  <c r="O9" i="13"/>
  <c r="P9" i="13"/>
  <c r="Q9" i="13" s="1"/>
  <c r="H68" i="2"/>
  <c r="I68" i="2" s="1"/>
  <c r="O10" i="13" l="1"/>
  <c r="P10" i="13"/>
  <c r="Q10" i="13" s="1"/>
  <c r="L68" i="2"/>
  <c r="J68" i="2"/>
  <c r="M68" i="2" l="1"/>
  <c r="H62" i="2"/>
  <c r="I62" i="2" s="1"/>
  <c r="J62" i="2" l="1"/>
  <c r="L62" i="2"/>
  <c r="M62" i="2" l="1"/>
  <c r="H66" i="2" l="1"/>
  <c r="I66" i="2" s="1"/>
  <c r="J66" i="2" l="1"/>
  <c r="L66" i="2"/>
  <c r="M66" i="2" l="1"/>
  <c r="F13" i="7" a="1"/>
  <c r="F13" i="7" s="1"/>
  <c r="O13" i="7" s="1"/>
  <c r="G13" i="7" a="1"/>
  <c r="G13" i="7" s="1"/>
  <c r="H13" i="7" a="1"/>
  <c r="H13" i="7" s="1"/>
  <c r="J13" i="7" a="1"/>
  <c r="J13" i="7" s="1"/>
  <c r="F12" i="7" a="1"/>
  <c r="F12" i="7" s="1"/>
  <c r="O12" i="7" s="1"/>
  <c r="G12" i="7" a="1"/>
  <c r="G12" i="7" s="1"/>
  <c r="H12" i="7" a="1"/>
  <c r="H12" i="7" s="1"/>
  <c r="J12" i="7" a="1"/>
  <c r="J12" i="7" s="1"/>
  <c r="F11" i="7" a="1"/>
  <c r="F11" i="7" s="1"/>
  <c r="O11" i="7" s="1"/>
  <c r="G11" i="7" a="1"/>
  <c r="G11" i="7" s="1"/>
  <c r="H11" i="7" a="1"/>
  <c r="H11" i="7" s="1"/>
  <c r="J11" i="7" a="1"/>
  <c r="J11" i="7" s="1"/>
  <c r="F8" i="7" a="1"/>
  <c r="F8" i="7" s="1"/>
  <c r="O8" i="7" s="1"/>
  <c r="G8" i="7" a="1"/>
  <c r="G8" i="7" s="1"/>
  <c r="H8" i="7" a="1"/>
  <c r="H8" i="7" s="1"/>
  <c r="J8" i="7" a="1"/>
  <c r="J8" i="7" s="1"/>
  <c r="J6" i="7" a="1"/>
  <c r="J6" i="7" s="1"/>
  <c r="J7" i="7" a="1"/>
  <c r="J7" i="7" s="1"/>
  <c r="J10" i="7" a="1"/>
  <c r="J10" i="7" s="1"/>
  <c r="J5" i="7" a="1"/>
  <c r="J5" i="7" s="1"/>
  <c r="F69" i="2" l="1"/>
  <c r="I69" i="2" s="1"/>
  <c r="H10" i="7" a="1"/>
  <c r="H10" i="7" s="1"/>
  <c r="G10" i="7" a="1"/>
  <c r="G10" i="7" s="1"/>
  <c r="F10" i="7" a="1"/>
  <c r="F10" i="7" s="1"/>
  <c r="O10" i="7" s="1"/>
  <c r="H7" i="7" a="1"/>
  <c r="H7" i="7" s="1"/>
  <c r="G7" i="7" a="1"/>
  <c r="G7" i="7" s="1"/>
  <c r="F7" i="7" a="1"/>
  <c r="F7" i="7" s="1"/>
  <c r="O7" i="7" s="1"/>
  <c r="H6" i="7" a="1"/>
  <c r="H6" i="7" s="1"/>
  <c r="G6" i="7" a="1"/>
  <c r="G6" i="7" s="1"/>
  <c r="F6" i="7" a="1"/>
  <c r="F6" i="7" s="1"/>
  <c r="O6" i="7" s="1"/>
  <c r="H5" i="7" a="1"/>
  <c r="H5" i="7" s="1"/>
  <c r="G5" i="7" a="1"/>
  <c r="G5" i="7" s="1"/>
  <c r="F5" i="7" a="1"/>
  <c r="F5" i="7" s="1"/>
  <c r="O5" i="7" s="1"/>
  <c r="L69" i="2" l="1"/>
  <c r="J69" i="2"/>
  <c r="M69" i="2" l="1"/>
  <c r="O10" i="3" l="1"/>
  <c r="F11" i="3" l="1" a="1"/>
  <c r="F11" i="3" s="1"/>
  <c r="O11" i="3" s="1"/>
  <c r="G11" i="3" a="1"/>
  <c r="G11" i="3" s="1"/>
  <c r="H11" i="3" a="1"/>
  <c r="H11" i="3" s="1"/>
  <c r="I11" i="3" a="1"/>
  <c r="I11" i="3" s="1"/>
  <c r="F71" i="3" a="1"/>
  <c r="F71" i="3" s="1"/>
  <c r="O71" i="3" s="1"/>
  <c r="G71" i="3" a="1"/>
  <c r="G71" i="3" s="1"/>
  <c r="H71" i="3" a="1"/>
  <c r="H71" i="3" s="1"/>
  <c r="I71" i="3" a="1"/>
  <c r="I71" i="3" s="1"/>
  <c r="F72" i="3" a="1"/>
  <c r="F72" i="3" s="1"/>
  <c r="O72" i="3" s="1"/>
  <c r="G72" i="3" a="1"/>
  <c r="G72" i="3" s="1"/>
  <c r="H72" i="3" a="1"/>
  <c r="H72" i="3" s="1"/>
  <c r="I72" i="3" a="1"/>
  <c r="I72" i="3" s="1"/>
  <c r="F73" i="3" a="1"/>
  <c r="F73" i="3" s="1"/>
  <c r="O73" i="3" s="1"/>
  <c r="G73" i="3" a="1"/>
  <c r="G73" i="3" s="1"/>
  <c r="H73" i="3" a="1"/>
  <c r="H73" i="3" s="1"/>
  <c r="I73" i="3" a="1"/>
  <c r="I73" i="3" s="1"/>
  <c r="F74" i="3" a="1"/>
  <c r="F74" i="3" s="1"/>
  <c r="O74" i="3" s="1"/>
  <c r="G74" i="3" a="1"/>
  <c r="G74" i="3" s="1"/>
  <c r="H74" i="3" a="1"/>
  <c r="H74" i="3" s="1"/>
  <c r="I74" i="3" a="1"/>
  <c r="I74" i="3" s="1"/>
  <c r="F75" i="3" a="1"/>
  <c r="F75" i="3" s="1"/>
  <c r="O75" i="3" s="1"/>
  <c r="G75" i="3" a="1"/>
  <c r="G75" i="3" s="1"/>
  <c r="H75" i="3" a="1"/>
  <c r="H75" i="3" s="1"/>
  <c r="I75" i="3" a="1"/>
  <c r="I75" i="3" s="1"/>
  <c r="F76" i="3" a="1"/>
  <c r="F76" i="3" s="1"/>
  <c r="O76" i="3" s="1"/>
  <c r="G76" i="3" a="1"/>
  <c r="G76" i="3" s="1"/>
  <c r="H76" i="3" a="1"/>
  <c r="H76" i="3" s="1"/>
  <c r="I76" i="3" a="1"/>
  <c r="I76" i="3" s="1"/>
  <c r="F77" i="3" a="1"/>
  <c r="F77" i="3" s="1"/>
  <c r="O77" i="3" s="1"/>
  <c r="G77" i="3" a="1"/>
  <c r="G77" i="3" s="1"/>
  <c r="H77" i="3" a="1"/>
  <c r="H77" i="3" s="1"/>
  <c r="I77" i="3" a="1"/>
  <c r="I77" i="3" s="1"/>
  <c r="F78" i="3" a="1"/>
  <c r="F78" i="3" s="1"/>
  <c r="O78" i="3" s="1"/>
  <c r="G78" i="3" a="1"/>
  <c r="G78" i="3" s="1"/>
  <c r="H78" i="3" a="1"/>
  <c r="H78" i="3" s="1"/>
  <c r="I78" i="3" a="1"/>
  <c r="I78" i="3" s="1"/>
  <c r="F79" i="3" a="1"/>
  <c r="F79" i="3" s="1"/>
  <c r="O79" i="3" s="1"/>
  <c r="G79" i="3" a="1"/>
  <c r="G79" i="3" s="1"/>
  <c r="H79" i="3" a="1"/>
  <c r="H79" i="3" s="1"/>
  <c r="I79" i="3" a="1"/>
  <c r="I79" i="3" s="1"/>
  <c r="F80" i="3" a="1"/>
  <c r="F80" i="3" s="1"/>
  <c r="O80" i="3" s="1"/>
  <c r="G80" i="3" a="1"/>
  <c r="G80" i="3" s="1"/>
  <c r="H80" i="3" a="1"/>
  <c r="H80" i="3" s="1"/>
  <c r="I80" i="3" a="1"/>
  <c r="I80" i="3" s="1"/>
  <c r="F81" i="3" a="1"/>
  <c r="F81" i="3" s="1"/>
  <c r="O81" i="3" s="1"/>
  <c r="G81" i="3" a="1"/>
  <c r="G81" i="3" s="1"/>
  <c r="H81" i="3" a="1"/>
  <c r="H81" i="3" s="1"/>
  <c r="I81" i="3" a="1"/>
  <c r="I81" i="3" s="1"/>
  <c r="F19" i="3" a="1"/>
  <c r="F19" i="3" s="1"/>
  <c r="O19" i="3" s="1"/>
  <c r="G19" i="3" a="1"/>
  <c r="G19" i="3" s="1"/>
  <c r="H19" i="3" a="1"/>
  <c r="H19" i="3" s="1"/>
  <c r="I19" i="3" a="1"/>
  <c r="I19" i="3" s="1"/>
  <c r="F58" i="3" a="1"/>
  <c r="F58" i="3" s="1"/>
  <c r="O58" i="3" s="1"/>
  <c r="G58" i="3" a="1"/>
  <c r="G58" i="3" s="1"/>
  <c r="H58" i="3" a="1"/>
  <c r="H58" i="3" s="1"/>
  <c r="I58" i="3" a="1"/>
  <c r="I58" i="3" s="1"/>
  <c r="F59" i="3" a="1"/>
  <c r="F59" i="3" s="1"/>
  <c r="O59" i="3" s="1"/>
  <c r="G59" i="3" a="1"/>
  <c r="G59" i="3" s="1"/>
  <c r="H59" i="3" a="1"/>
  <c r="H59" i="3" s="1"/>
  <c r="I59" i="3" a="1"/>
  <c r="I59" i="3" s="1"/>
  <c r="F60" i="3" a="1"/>
  <c r="F60" i="3" s="1"/>
  <c r="O60" i="3" s="1"/>
  <c r="G60" i="3" a="1"/>
  <c r="G60" i="3" s="1"/>
  <c r="H60" i="3" a="1"/>
  <c r="H60" i="3" s="1"/>
  <c r="I60" i="3" a="1"/>
  <c r="I60" i="3" s="1"/>
  <c r="F61" i="3" a="1"/>
  <c r="F61" i="3" s="1"/>
  <c r="O61" i="3" s="1"/>
  <c r="G61" i="3" a="1"/>
  <c r="G61" i="3" s="1"/>
  <c r="H61" i="3" a="1"/>
  <c r="H61" i="3" s="1"/>
  <c r="I61" i="3" a="1"/>
  <c r="I61" i="3" s="1"/>
  <c r="F62" i="3" a="1"/>
  <c r="F62" i="3" s="1"/>
  <c r="O62" i="3" s="1"/>
  <c r="G62" i="3" a="1"/>
  <c r="G62" i="3" s="1"/>
  <c r="H62" i="3" a="1"/>
  <c r="H62" i="3" s="1"/>
  <c r="I62" i="3" a="1"/>
  <c r="I62" i="3" s="1"/>
  <c r="F63" i="3" a="1"/>
  <c r="F63" i="3" s="1"/>
  <c r="O63" i="3" s="1"/>
  <c r="G63" i="3" a="1"/>
  <c r="G63" i="3" s="1"/>
  <c r="H63" i="3" a="1"/>
  <c r="H63" i="3" s="1"/>
  <c r="I63" i="3" a="1"/>
  <c r="I63" i="3" s="1"/>
  <c r="F64" i="3" a="1"/>
  <c r="F64" i="3" s="1"/>
  <c r="O64" i="3" s="1"/>
  <c r="G64" i="3" a="1"/>
  <c r="G64" i="3" s="1"/>
  <c r="H64" i="3" a="1"/>
  <c r="H64" i="3" s="1"/>
  <c r="I64" i="3" a="1"/>
  <c r="I64" i="3" s="1"/>
  <c r="F65" i="3" a="1"/>
  <c r="F65" i="3" s="1"/>
  <c r="O65" i="3" s="1"/>
  <c r="G65" i="3" a="1"/>
  <c r="G65" i="3" s="1"/>
  <c r="H65" i="3" a="1"/>
  <c r="H65" i="3" s="1"/>
  <c r="I65" i="3" a="1"/>
  <c r="I65" i="3" s="1"/>
  <c r="F66" i="3" a="1"/>
  <c r="F66" i="3" s="1"/>
  <c r="O66" i="3" s="1"/>
  <c r="G66" i="3" a="1"/>
  <c r="G66" i="3" s="1"/>
  <c r="H66" i="3" a="1"/>
  <c r="H66" i="3" s="1"/>
  <c r="I66" i="3" a="1"/>
  <c r="I66" i="3" s="1"/>
  <c r="F67" i="3" a="1"/>
  <c r="F67" i="3" s="1"/>
  <c r="O67" i="3" s="1"/>
  <c r="G67" i="3" a="1"/>
  <c r="G67" i="3" s="1"/>
  <c r="H67" i="3" a="1"/>
  <c r="H67" i="3" s="1"/>
  <c r="I67" i="3" a="1"/>
  <c r="I67" i="3" s="1"/>
  <c r="F68" i="3" a="1"/>
  <c r="F68" i="3" s="1"/>
  <c r="O68" i="3" s="1"/>
  <c r="G68" i="3" a="1"/>
  <c r="G68" i="3" s="1"/>
  <c r="H68" i="3" a="1"/>
  <c r="H68" i="3" s="1"/>
  <c r="I68" i="3" a="1"/>
  <c r="I68" i="3" s="1"/>
  <c r="F69" i="3" a="1"/>
  <c r="F69" i="3" s="1"/>
  <c r="O69" i="3" s="1"/>
  <c r="G69" i="3" a="1"/>
  <c r="G69" i="3" s="1"/>
  <c r="H69" i="3" a="1"/>
  <c r="H69" i="3" s="1"/>
  <c r="I69" i="3" a="1"/>
  <c r="I69" i="3" s="1"/>
  <c r="F37" i="3" a="1"/>
  <c r="F37" i="3" s="1"/>
  <c r="O37" i="3" s="1"/>
  <c r="G37" i="3" a="1"/>
  <c r="G37" i="3" s="1"/>
  <c r="H37" i="3" a="1"/>
  <c r="H37" i="3" s="1"/>
  <c r="I37" i="3" a="1"/>
  <c r="I37" i="3" s="1"/>
  <c r="F56" i="3" a="1"/>
  <c r="F56" i="3" s="1"/>
  <c r="O56" i="3" s="1"/>
  <c r="G56" i="3" a="1"/>
  <c r="G56" i="3" s="1"/>
  <c r="H56" i="3" a="1"/>
  <c r="H56" i="3" s="1"/>
  <c r="I56" i="3" a="1"/>
  <c r="I56" i="3" s="1"/>
  <c r="F41" i="3" a="1"/>
  <c r="F41" i="3" s="1"/>
  <c r="O41" i="3" s="1"/>
  <c r="G41" i="3" a="1"/>
  <c r="G41" i="3" s="1"/>
  <c r="H41" i="3" a="1"/>
  <c r="H41" i="3" s="1"/>
  <c r="I41" i="3" a="1"/>
  <c r="I41" i="3" s="1"/>
  <c r="F42" i="3" a="1"/>
  <c r="F42" i="3" s="1"/>
  <c r="O42" i="3" s="1"/>
  <c r="G42" i="3" a="1"/>
  <c r="G42" i="3" s="1"/>
  <c r="H42" i="3" a="1"/>
  <c r="H42" i="3" s="1"/>
  <c r="I42" i="3" a="1"/>
  <c r="I42" i="3" s="1"/>
  <c r="F43" i="3" a="1"/>
  <c r="F43" i="3" s="1"/>
  <c r="O43" i="3" s="1"/>
  <c r="G43" i="3" a="1"/>
  <c r="G43" i="3" s="1"/>
  <c r="H43" i="3" a="1"/>
  <c r="H43" i="3" s="1"/>
  <c r="I43" i="3" a="1"/>
  <c r="I43" i="3" s="1"/>
  <c r="F44" i="3" a="1"/>
  <c r="F44" i="3" s="1"/>
  <c r="O44" i="3" s="1"/>
  <c r="G44" i="3" a="1"/>
  <c r="G44" i="3" s="1"/>
  <c r="H44" i="3" a="1"/>
  <c r="H44" i="3" s="1"/>
  <c r="I44" i="3" a="1"/>
  <c r="I44" i="3" s="1"/>
  <c r="F45" i="3" a="1"/>
  <c r="F45" i="3" s="1"/>
  <c r="O45" i="3" s="1"/>
  <c r="G45" i="3" a="1"/>
  <c r="G45" i="3" s="1"/>
  <c r="H45" i="3" a="1"/>
  <c r="H45" i="3" s="1"/>
  <c r="I45" i="3" a="1"/>
  <c r="I45" i="3" s="1"/>
  <c r="F46" i="3" a="1"/>
  <c r="F46" i="3" s="1"/>
  <c r="O46" i="3" s="1"/>
  <c r="G46" i="3" a="1"/>
  <c r="G46" i="3" s="1"/>
  <c r="H46" i="3" a="1"/>
  <c r="H46" i="3" s="1"/>
  <c r="I46" i="3" a="1"/>
  <c r="I46" i="3" s="1"/>
  <c r="F47" i="3" a="1"/>
  <c r="F47" i="3" s="1"/>
  <c r="O47" i="3" s="1"/>
  <c r="G47" i="3" a="1"/>
  <c r="G47" i="3" s="1"/>
  <c r="H47" i="3" a="1"/>
  <c r="H47" i="3" s="1"/>
  <c r="I47" i="3" a="1"/>
  <c r="I47" i="3" s="1"/>
  <c r="F48" i="3" a="1"/>
  <c r="F48" i="3" s="1"/>
  <c r="O48" i="3" s="1"/>
  <c r="G48" i="3" a="1"/>
  <c r="G48" i="3" s="1"/>
  <c r="H48" i="3" a="1"/>
  <c r="H48" i="3" s="1"/>
  <c r="I48" i="3" a="1"/>
  <c r="I48" i="3" s="1"/>
  <c r="F49" i="3" a="1"/>
  <c r="F49" i="3" s="1"/>
  <c r="O49" i="3" s="1"/>
  <c r="G49" i="3" a="1"/>
  <c r="G49" i="3" s="1"/>
  <c r="H49" i="3" a="1"/>
  <c r="H49" i="3" s="1"/>
  <c r="I49" i="3" a="1"/>
  <c r="I49" i="3" s="1"/>
  <c r="F50" i="3" a="1"/>
  <c r="F50" i="3" s="1"/>
  <c r="O50" i="3" s="1"/>
  <c r="G50" i="3" a="1"/>
  <c r="G50" i="3" s="1"/>
  <c r="H50" i="3" a="1"/>
  <c r="H50" i="3" s="1"/>
  <c r="I50" i="3" a="1"/>
  <c r="I50" i="3" s="1"/>
  <c r="F51" i="3" a="1"/>
  <c r="F51" i="3" s="1"/>
  <c r="O51" i="3" s="1"/>
  <c r="G51" i="3" a="1"/>
  <c r="G51" i="3" s="1"/>
  <c r="H51" i="3" a="1"/>
  <c r="H51" i="3" s="1"/>
  <c r="I51" i="3" a="1"/>
  <c r="I51" i="3" s="1"/>
  <c r="F52" i="3" a="1"/>
  <c r="F52" i="3" s="1"/>
  <c r="O52" i="3" s="1"/>
  <c r="G52" i="3" a="1"/>
  <c r="G52" i="3" s="1"/>
  <c r="H52" i="3" a="1"/>
  <c r="H52" i="3" s="1"/>
  <c r="I52" i="3" a="1"/>
  <c r="I52" i="3" s="1"/>
  <c r="F53" i="3" a="1"/>
  <c r="F53" i="3" s="1"/>
  <c r="O53" i="3" s="1"/>
  <c r="G53" i="3" a="1"/>
  <c r="G53" i="3" s="1"/>
  <c r="H53" i="3" a="1"/>
  <c r="H53" i="3" s="1"/>
  <c r="I53" i="3" a="1"/>
  <c r="I53" i="3" s="1"/>
  <c r="F54" i="3" a="1"/>
  <c r="F54" i="3" s="1"/>
  <c r="O54" i="3" s="1"/>
  <c r="G54" i="3" a="1"/>
  <c r="G54" i="3" s="1"/>
  <c r="H54" i="3" a="1"/>
  <c r="H54" i="3" s="1"/>
  <c r="I54" i="3" a="1"/>
  <c r="I54" i="3" s="1"/>
  <c r="F55" i="3" a="1"/>
  <c r="F55" i="3" s="1"/>
  <c r="O55" i="3" s="1"/>
  <c r="G55" i="3" a="1"/>
  <c r="G55" i="3" s="1"/>
  <c r="H55" i="3" a="1"/>
  <c r="H55" i="3" s="1"/>
  <c r="I55" i="3" a="1"/>
  <c r="I55" i="3" s="1"/>
  <c r="I40" i="3" a="1"/>
  <c r="I40" i="3" s="1"/>
  <c r="H40" i="3" a="1"/>
  <c r="H40" i="3" s="1"/>
  <c r="G40" i="3" a="1"/>
  <c r="G40" i="3" s="1"/>
  <c r="F40" i="3" a="1"/>
  <c r="F40" i="3" s="1"/>
  <c r="O40" i="3" s="1"/>
  <c r="I27" i="3" a="1"/>
  <c r="I27" i="3" s="1"/>
  <c r="F28" i="3" a="1"/>
  <c r="F28" i="3" s="1"/>
  <c r="O28" i="3" s="1"/>
  <c r="G28" i="3" a="1"/>
  <c r="G28" i="3" s="1"/>
  <c r="H28" i="3" a="1"/>
  <c r="H28" i="3" s="1"/>
  <c r="I28" i="3" a="1"/>
  <c r="I28" i="3" s="1"/>
  <c r="F29" i="3" a="1"/>
  <c r="F29" i="3" s="1"/>
  <c r="O29" i="3" s="1"/>
  <c r="G29" i="3" a="1"/>
  <c r="G29" i="3" s="1"/>
  <c r="H29" i="3" a="1"/>
  <c r="H29" i="3" s="1"/>
  <c r="I29" i="3" a="1"/>
  <c r="I29" i="3" s="1"/>
  <c r="F30" i="3" a="1"/>
  <c r="F30" i="3" s="1"/>
  <c r="O30" i="3" s="1"/>
  <c r="G30" i="3" a="1"/>
  <c r="G30" i="3" s="1"/>
  <c r="H30" i="3" a="1"/>
  <c r="H30" i="3" s="1"/>
  <c r="I30" i="3" a="1"/>
  <c r="I30" i="3" s="1"/>
  <c r="F31" i="3" a="1"/>
  <c r="F31" i="3" s="1"/>
  <c r="O31" i="3" s="1"/>
  <c r="G31" i="3" a="1"/>
  <c r="G31" i="3" s="1"/>
  <c r="H31" i="3" a="1"/>
  <c r="H31" i="3" s="1"/>
  <c r="I31" i="3" a="1"/>
  <c r="I31" i="3" s="1"/>
  <c r="F32" i="3" a="1"/>
  <c r="F32" i="3" s="1"/>
  <c r="O32" i="3" s="1"/>
  <c r="G32" i="3" a="1"/>
  <c r="G32" i="3" s="1"/>
  <c r="H32" i="3" a="1"/>
  <c r="H32" i="3" s="1"/>
  <c r="I32" i="3" a="1"/>
  <c r="I32" i="3" s="1"/>
  <c r="F33" i="3" a="1"/>
  <c r="F33" i="3" s="1"/>
  <c r="O33" i="3" s="1"/>
  <c r="G33" i="3" a="1"/>
  <c r="G33" i="3" s="1"/>
  <c r="H33" i="3" a="1"/>
  <c r="H33" i="3" s="1"/>
  <c r="I33" i="3" a="1"/>
  <c r="I33" i="3" s="1"/>
  <c r="F34" i="3" a="1"/>
  <c r="F34" i="3" s="1"/>
  <c r="O34" i="3" s="1"/>
  <c r="G34" i="3" a="1"/>
  <c r="G34" i="3" s="1"/>
  <c r="H34" i="3" a="1"/>
  <c r="H34" i="3" s="1"/>
  <c r="I34" i="3" a="1"/>
  <c r="I34" i="3" s="1"/>
  <c r="F35" i="3" a="1"/>
  <c r="F35" i="3" s="1"/>
  <c r="O35" i="3" s="1"/>
  <c r="G35" i="3" a="1"/>
  <c r="G35" i="3" s="1"/>
  <c r="H35" i="3" a="1"/>
  <c r="H35" i="3" s="1"/>
  <c r="I35" i="3" a="1"/>
  <c r="I35" i="3" s="1"/>
  <c r="F36" i="3" a="1"/>
  <c r="F36" i="3" s="1"/>
  <c r="O36" i="3" s="1"/>
  <c r="G36" i="3" a="1"/>
  <c r="G36" i="3" s="1"/>
  <c r="H36" i="3" a="1"/>
  <c r="H36" i="3" s="1"/>
  <c r="I36" i="3" a="1"/>
  <c r="I36" i="3" s="1"/>
  <c r="H27" i="3" a="1"/>
  <c r="H27" i="3" s="1"/>
  <c r="G27" i="3" a="1"/>
  <c r="G27" i="3" s="1"/>
  <c r="F27" i="3" a="1"/>
  <c r="F27" i="3" s="1"/>
  <c r="O27" i="3" s="1"/>
  <c r="F22" i="3" a="1"/>
  <c r="F22" i="3" s="1"/>
  <c r="O22" i="3" s="1"/>
  <c r="G22" i="3" a="1"/>
  <c r="G22" i="3" s="1"/>
  <c r="H22" i="3" a="1"/>
  <c r="H22" i="3" s="1"/>
  <c r="I22" i="3" a="1"/>
  <c r="I22" i="3" s="1"/>
  <c r="F23" i="3" a="1"/>
  <c r="F23" i="3" s="1"/>
  <c r="O23" i="3" s="1"/>
  <c r="G23" i="3" a="1"/>
  <c r="G23" i="3" s="1"/>
  <c r="H23" i="3" a="1"/>
  <c r="H23" i="3" s="1"/>
  <c r="I23" i="3" a="1"/>
  <c r="I23" i="3" s="1"/>
  <c r="F24" i="3" a="1"/>
  <c r="F24" i="3" s="1"/>
  <c r="O24" i="3" s="1"/>
  <c r="G24" i="3" a="1"/>
  <c r="G24" i="3" s="1"/>
  <c r="H24" i="3" a="1"/>
  <c r="H24" i="3" s="1"/>
  <c r="I24" i="3" a="1"/>
  <c r="I24" i="3" s="1"/>
  <c r="F25" i="3" a="1"/>
  <c r="F25" i="3" s="1"/>
  <c r="O25" i="3" s="1"/>
  <c r="G25" i="3" a="1"/>
  <c r="G25" i="3" s="1"/>
  <c r="H25" i="3" a="1"/>
  <c r="H25" i="3" s="1"/>
  <c r="I25" i="3" a="1"/>
  <c r="I25" i="3" s="1"/>
  <c r="I21" i="3" a="1"/>
  <c r="I21" i="3" s="1"/>
  <c r="H21" i="3" a="1"/>
  <c r="H21" i="3" s="1"/>
  <c r="G21" i="3" a="1"/>
  <c r="G21" i="3" s="1"/>
  <c r="F21" i="3" a="1"/>
  <c r="F21" i="3" s="1"/>
  <c r="O21" i="3" s="1"/>
  <c r="F9" i="3" a="1"/>
  <c r="F9" i="3" s="1"/>
  <c r="O9" i="3" s="1"/>
  <c r="G9" i="3" a="1"/>
  <c r="G9" i="3" s="1"/>
  <c r="H9" i="3" a="1"/>
  <c r="H9" i="3" s="1"/>
  <c r="I9" i="3" a="1"/>
  <c r="I9" i="3" s="1"/>
  <c r="F18" i="3" a="1"/>
  <c r="F18" i="3" s="1"/>
  <c r="O18" i="3" s="1"/>
  <c r="G18" i="3" a="1"/>
  <c r="G18" i="3" s="1"/>
  <c r="H18" i="3" a="1"/>
  <c r="H18" i="3" s="1"/>
  <c r="I18" i="3" a="1"/>
  <c r="I18" i="3" s="1"/>
  <c r="F13" i="3" a="1"/>
  <c r="F13" i="3" s="1"/>
  <c r="O13" i="3" s="1"/>
  <c r="G13" i="3" a="1"/>
  <c r="G13" i="3" s="1"/>
  <c r="H13" i="3" a="1"/>
  <c r="H13" i="3" s="1"/>
  <c r="I13" i="3" a="1"/>
  <c r="I13" i="3" s="1"/>
  <c r="F14" i="3" a="1"/>
  <c r="F14" i="3" s="1"/>
  <c r="O14" i="3" s="1"/>
  <c r="G14" i="3" a="1"/>
  <c r="G14" i="3" s="1"/>
  <c r="H14" i="3" a="1"/>
  <c r="H14" i="3" s="1"/>
  <c r="I14" i="3" a="1"/>
  <c r="I14" i="3" s="1"/>
  <c r="F15" i="3" a="1"/>
  <c r="F15" i="3" s="1"/>
  <c r="O15" i="3" s="1"/>
  <c r="G15" i="3" a="1"/>
  <c r="G15" i="3" s="1"/>
  <c r="H15" i="3" a="1"/>
  <c r="H15" i="3" s="1"/>
  <c r="I15" i="3" a="1"/>
  <c r="I15" i="3" s="1"/>
  <c r="F16" i="3" a="1"/>
  <c r="F16" i="3" s="1"/>
  <c r="O16" i="3" s="1"/>
  <c r="G16" i="3" a="1"/>
  <c r="G16" i="3" s="1"/>
  <c r="H16" i="3" a="1"/>
  <c r="H16" i="3" s="1"/>
  <c r="I16" i="3" a="1"/>
  <c r="I16" i="3" s="1"/>
  <c r="F17" i="3" a="1"/>
  <c r="F17" i="3" s="1"/>
  <c r="O17" i="3" s="1"/>
  <c r="G17" i="3" a="1"/>
  <c r="G17" i="3" s="1"/>
  <c r="H17" i="3" a="1"/>
  <c r="H17" i="3" s="1"/>
  <c r="I17" i="3" a="1"/>
  <c r="I17" i="3" s="1"/>
  <c r="I12" i="3" a="1"/>
  <c r="I12" i="3" s="1"/>
  <c r="H12" i="3" a="1"/>
  <c r="H12" i="3" s="1"/>
  <c r="G12" i="3" a="1"/>
  <c r="G12" i="3" s="1"/>
  <c r="F12" i="3" a="1"/>
  <c r="F12" i="3" s="1"/>
  <c r="O12" i="3" s="1"/>
  <c r="F6" i="3" a="1"/>
  <c r="F6" i="3" s="1"/>
  <c r="O6" i="3" s="1"/>
  <c r="G6" i="3" a="1"/>
  <c r="G6" i="3" s="1"/>
  <c r="H6" i="3" a="1"/>
  <c r="H6" i="3" s="1"/>
  <c r="I6" i="3" a="1"/>
  <c r="I6" i="3" s="1"/>
  <c r="F7" i="3" a="1"/>
  <c r="F7" i="3" s="1"/>
  <c r="O7" i="3" s="1"/>
  <c r="G7" i="3" a="1"/>
  <c r="G7" i="3" s="1"/>
  <c r="H7" i="3" a="1"/>
  <c r="H7" i="3" s="1"/>
  <c r="I7" i="3" a="1"/>
  <c r="I7" i="3" s="1"/>
  <c r="F8" i="3" a="1"/>
  <c r="F8" i="3" s="1"/>
  <c r="O8" i="3" s="1"/>
  <c r="G8" i="3" a="1"/>
  <c r="G8" i="3" s="1"/>
  <c r="H8" i="3" a="1"/>
  <c r="H8" i="3" s="1"/>
  <c r="I8" i="3" a="1"/>
  <c r="I8" i="3" s="1"/>
  <c r="I5" i="3" a="1"/>
  <c r="I5" i="3" s="1"/>
  <c r="H5" i="3" a="1"/>
  <c r="H5" i="3" s="1"/>
  <c r="G5" i="3" a="1"/>
  <c r="G5" i="3" s="1"/>
  <c r="F5" i="3" a="1"/>
  <c r="F5" i="3" s="1"/>
  <c r="O5" i="3" s="1"/>
  <c r="K31" i="2" l="1"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30" i="2" a="1"/>
  <c r="K30" i="2" s="1"/>
  <c r="K233" i="2" a="1"/>
  <c r="K233" i="2" s="1"/>
  <c r="K76" i="2" a="1"/>
  <c r="K76" i="2" s="1"/>
  <c r="K61" i="2" a="1"/>
  <c r="K61" i="2" s="1"/>
  <c r="K60" i="2" a="1"/>
  <c r="K60" i="2" s="1"/>
  <c r="K59" i="2" a="1"/>
  <c r="K59" i="2" s="1"/>
  <c r="K236" i="2" l="1"/>
  <c r="G236" i="2"/>
  <c r="F236" i="2"/>
  <c r="K235" i="2"/>
  <c r="I235" i="2"/>
  <c r="J235" i="2" s="1"/>
  <c r="C235" i="2"/>
  <c r="I234" i="2"/>
  <c r="L234" i="2" s="1"/>
  <c r="C234" i="2"/>
  <c r="I233" i="2"/>
  <c r="L233" i="2" s="1"/>
  <c r="H236" i="2" l="1"/>
  <c r="I236" i="2" s="1"/>
  <c r="J236" i="2" s="1"/>
  <c r="L235" i="2"/>
  <c r="M235" i="2" s="1"/>
  <c r="J233" i="2"/>
  <c r="J234" i="2"/>
  <c r="M234" i="2" s="1"/>
  <c r="E310" i="2" l="1"/>
  <c r="L236" i="2"/>
  <c r="H310" i="2" s="1"/>
  <c r="M233" i="2"/>
  <c r="I310" i="2" l="1"/>
  <c r="M236" i="2"/>
  <c r="H59" i="2"/>
  <c r="I59" i="2" l="1"/>
  <c r="L59" i="2" s="1"/>
  <c r="H63" i="2"/>
  <c r="I63" i="2" s="1"/>
  <c r="L63" i="2" l="1"/>
  <c r="J63" i="2"/>
  <c r="J59" i="2"/>
  <c r="M59" i="2" s="1"/>
  <c r="H55" i="2"/>
  <c r="I55" i="2" s="1"/>
  <c r="M63" i="2" l="1"/>
  <c r="L55" i="2"/>
  <c r="J55" i="2"/>
  <c r="H67" i="2"/>
  <c r="I67" i="2" s="1"/>
  <c r="H61" i="2"/>
  <c r="H60" i="2"/>
  <c r="J67" i="2" l="1"/>
  <c r="L67" i="2"/>
  <c r="I60" i="2"/>
  <c r="L60" i="2" s="1"/>
  <c r="M55" i="2"/>
  <c r="H72" i="2"/>
  <c r="I72" i="2" s="1"/>
  <c r="L72" i="2" l="1"/>
  <c r="J72" i="2"/>
  <c r="M67" i="2"/>
  <c r="J60" i="2"/>
  <c r="M60" i="2" s="1"/>
  <c r="I54" i="2"/>
  <c r="J54" i="2" s="1"/>
  <c r="M72" i="2" l="1"/>
  <c r="L54" i="2"/>
  <c r="M54" i="2" s="1"/>
  <c r="H65" i="2"/>
  <c r="I65" i="2" s="1"/>
  <c r="L65" i="2" l="1"/>
  <c r="J65" i="2"/>
  <c r="M65" i="2" l="1"/>
  <c r="I61" i="2"/>
  <c r="L61" i="2" s="1"/>
  <c r="J61" i="2" l="1"/>
  <c r="M61" i="2" l="1"/>
  <c r="G13" i="5" l="1"/>
  <c r="G12" i="5"/>
  <c r="G11" i="5"/>
  <c r="G10" i="5"/>
  <c r="G9" i="5"/>
  <c r="G8" i="5"/>
  <c r="G7" i="5"/>
  <c r="G6" i="5"/>
  <c r="I77" i="2" l="1"/>
  <c r="L77" i="2" s="1"/>
  <c r="J77" i="2" l="1"/>
  <c r="M77" i="2" l="1"/>
  <c r="L21" i="2" l="1"/>
  <c r="H57" i="2"/>
  <c r="I57" i="2" s="1"/>
  <c r="L57" i="2" l="1"/>
  <c r="M18" i="2"/>
  <c r="M19" i="2"/>
  <c r="M17" i="2"/>
  <c r="J57" i="2"/>
  <c r="H49" i="2"/>
  <c r="I49" i="2" s="1"/>
  <c r="M21" i="2" l="1"/>
  <c r="M57" i="2"/>
  <c r="J49" i="2"/>
  <c r="L49" i="2"/>
  <c r="H56" i="2"/>
  <c r="I56" i="2" s="1"/>
  <c r="M49" i="2" l="1"/>
  <c r="J56" i="2"/>
  <c r="L56" i="2"/>
  <c r="H53" i="2"/>
  <c r="I53" i="2" s="1"/>
  <c r="M56" i="2" l="1"/>
  <c r="J53" i="2"/>
  <c r="L53" i="2"/>
  <c r="H64" i="2"/>
  <c r="I64" i="2" s="1"/>
  <c r="J64" i="2" l="1"/>
  <c r="L64" i="2"/>
  <c r="M53" i="2"/>
  <c r="B23" i="4" l="1"/>
  <c r="B17" i="4"/>
  <c r="H47" i="2" l="1"/>
  <c r="I47" i="2" s="1"/>
  <c r="H48" i="2"/>
  <c r="I48" i="2" s="1"/>
  <c r="J47" i="2" l="1"/>
  <c r="L47" i="2"/>
  <c r="J48" i="2"/>
  <c r="L48" i="2"/>
  <c r="M48" i="2" l="1"/>
  <c r="M47" i="2"/>
  <c r="H50" i="2" l="1"/>
  <c r="I50" i="2" s="1"/>
  <c r="J50" i="2" l="1"/>
  <c r="L50" i="2"/>
  <c r="M50" i="2" l="1"/>
  <c r="H45" i="2" l="1"/>
  <c r="I45" i="2" s="1"/>
  <c r="L45" i="2" l="1"/>
  <c r="J45" i="2"/>
  <c r="H44" i="2"/>
  <c r="M45" i="2" l="1"/>
  <c r="D29" i="4"/>
  <c r="D28" i="4"/>
  <c r="J24" i="4"/>
  <c r="F23" i="4"/>
  <c r="J21" i="4"/>
  <c r="E21" i="4"/>
  <c r="B22" i="4" s="1"/>
  <c r="J18" i="4"/>
  <c r="F17" i="4"/>
  <c r="E15" i="4"/>
  <c r="B16" i="4" s="1"/>
  <c r="G9" i="4"/>
  <c r="G21" i="4" s="1"/>
  <c r="F9" i="4"/>
  <c r="G8" i="4"/>
  <c r="G15" i="4" s="1"/>
  <c r="F8" i="4"/>
  <c r="F15" i="4" s="1"/>
  <c r="H52" i="2"/>
  <c r="I52" i="2" s="1"/>
  <c r="I44" i="2"/>
  <c r="H51" i="2"/>
  <c r="I51" i="2" s="1"/>
  <c r="L51" i="2" s="1"/>
  <c r="H58" i="2"/>
  <c r="I58" i="2" s="1"/>
  <c r="I78" i="2"/>
  <c r="L78" i="2" s="1"/>
  <c r="H46" i="2"/>
  <c r="F46" i="2"/>
  <c r="H43" i="2"/>
  <c r="I43" i="2" s="1"/>
  <c r="J43" i="2" s="1"/>
  <c r="H42" i="2"/>
  <c r="I42" i="2" s="1"/>
  <c r="H41" i="2"/>
  <c r="I41" i="2" s="1"/>
  <c r="H40" i="2"/>
  <c r="G40" i="2"/>
  <c r="F40" i="2"/>
  <c r="H39" i="2"/>
  <c r="I39" i="2" s="1"/>
  <c r="H38" i="2"/>
  <c r="I38" i="2" s="1"/>
  <c r="H37" i="2"/>
  <c r="F37" i="2"/>
  <c r="H36" i="2"/>
  <c r="F36" i="2"/>
  <c r="H35" i="2"/>
  <c r="I35" i="2" s="1"/>
  <c r="L35" i="2" s="1"/>
  <c r="L34" i="2"/>
  <c r="J34" i="2"/>
  <c r="H33" i="2"/>
  <c r="I33" i="2" s="1"/>
  <c r="H32" i="2"/>
  <c r="I31" i="2"/>
  <c r="L31" i="2" s="1"/>
  <c r="L30" i="2"/>
  <c r="J30" i="2"/>
  <c r="T9" i="2" l="1"/>
  <c r="O12" i="28" s="1"/>
  <c r="V9" i="2"/>
  <c r="Q12" i="28" s="1"/>
  <c r="H204" i="2"/>
  <c r="I32" i="2"/>
  <c r="J32" i="2" s="1"/>
  <c r="J78" i="2"/>
  <c r="M78" i="2" s="1"/>
  <c r="I75" i="2"/>
  <c r="H9" i="4"/>
  <c r="K9" i="4" s="1"/>
  <c r="I36" i="2"/>
  <c r="L36" i="2" s="1"/>
  <c r="F21" i="4"/>
  <c r="F24" i="4" s="1"/>
  <c r="F18" i="4"/>
  <c r="E18" i="4"/>
  <c r="H15" i="4"/>
  <c r="G22" i="4"/>
  <c r="G16" i="4"/>
  <c r="H8" i="4"/>
  <c r="G11" i="4"/>
  <c r="I37" i="2"/>
  <c r="J37" i="2" s="1"/>
  <c r="M34" i="2"/>
  <c r="M30" i="2"/>
  <c r="I46" i="2"/>
  <c r="J46" i="2" s="1"/>
  <c r="J52" i="2"/>
  <c r="L52" i="2"/>
  <c r="J41" i="2"/>
  <c r="L41" i="2"/>
  <c r="L33" i="2"/>
  <c r="J33" i="2"/>
  <c r="J58" i="2"/>
  <c r="L58" i="2"/>
  <c r="I40" i="2"/>
  <c r="L40" i="2" s="1"/>
  <c r="X9" i="2" s="1"/>
  <c r="S12" i="28" s="1"/>
  <c r="L39" i="2"/>
  <c r="J39" i="2"/>
  <c r="L38" i="2"/>
  <c r="J38" i="2"/>
  <c r="J42" i="2"/>
  <c r="L42" i="2"/>
  <c r="L44" i="2"/>
  <c r="J44" i="2"/>
  <c r="J31" i="2"/>
  <c r="M31" i="2" s="1"/>
  <c r="L43" i="2"/>
  <c r="M43" i="2" s="1"/>
  <c r="J35" i="2"/>
  <c r="M35" i="2" s="1"/>
  <c r="J51" i="2"/>
  <c r="S14" i="28" l="1"/>
  <c r="S18" i="28"/>
  <c r="S20" i="28" s="1"/>
  <c r="Q18" i="28"/>
  <c r="Q20" i="28" s="1"/>
  <c r="Q14" i="28"/>
  <c r="O14" i="28"/>
  <c r="O18" i="28"/>
  <c r="O20" i="28" s="1"/>
  <c r="G5" i="2"/>
  <c r="H4" i="28" s="1"/>
  <c r="H6" i="28" s="1"/>
  <c r="L32" i="2"/>
  <c r="M32" i="2" s="1"/>
  <c r="L75" i="2"/>
  <c r="J75" i="2"/>
  <c r="P9" i="2"/>
  <c r="K12" i="28" s="1"/>
  <c r="H319" i="2"/>
  <c r="I9" i="4"/>
  <c r="L9" i="4" s="1"/>
  <c r="J36" i="2"/>
  <c r="M36" i="2" s="1"/>
  <c r="M52" i="2"/>
  <c r="E24" i="4"/>
  <c r="M41" i="2"/>
  <c r="H21" i="4"/>
  <c r="K8" i="4"/>
  <c r="I8" i="4"/>
  <c r="K15" i="4"/>
  <c r="I15" i="4"/>
  <c r="G23" i="4"/>
  <c r="H23" i="4" s="1"/>
  <c r="I23" i="4" s="1"/>
  <c r="H22" i="4"/>
  <c r="I22" i="4" s="1"/>
  <c r="L37" i="2"/>
  <c r="J40" i="2"/>
  <c r="M40" i="2" s="1"/>
  <c r="H16" i="4"/>
  <c r="I16" i="4" s="1"/>
  <c r="G17" i="4"/>
  <c r="H17" i="4" s="1"/>
  <c r="I17" i="4" s="1"/>
  <c r="M33" i="2"/>
  <c r="L46" i="2"/>
  <c r="M58" i="2"/>
  <c r="M44" i="2"/>
  <c r="M64" i="2"/>
  <c r="M38" i="2"/>
  <c r="M39" i="2"/>
  <c r="M51" i="2"/>
  <c r="M42" i="2"/>
  <c r="K14" i="28" l="1"/>
  <c r="K18" i="28"/>
  <c r="K20" i="28" s="1"/>
  <c r="M75" i="2"/>
  <c r="J9" i="2"/>
  <c r="E12" i="28" s="1"/>
  <c r="L9" i="2"/>
  <c r="G12" i="28" s="1"/>
  <c r="K9" i="2"/>
  <c r="F12" i="28" s="1"/>
  <c r="I9" i="2"/>
  <c r="D12" i="28" s="1"/>
  <c r="C3" i="4"/>
  <c r="D3" i="4" s="1"/>
  <c r="L15" i="4"/>
  <c r="M37" i="2"/>
  <c r="I21" i="4"/>
  <c r="K21" i="4"/>
  <c r="K11" i="4"/>
  <c r="F2" i="4" s="1"/>
  <c r="E2" i="4" s="1"/>
  <c r="L8" i="4"/>
  <c r="G18" i="4"/>
  <c r="H18" i="4" s="1"/>
  <c r="G24" i="4"/>
  <c r="H24" i="4" s="1"/>
  <c r="M46" i="2"/>
  <c r="F14" i="28" l="1"/>
  <c r="F18" i="28"/>
  <c r="F20" i="28" s="1"/>
  <c r="D14" i="28"/>
  <c r="D18" i="28"/>
  <c r="D20" i="28" s="1"/>
  <c r="G14" i="28"/>
  <c r="G18" i="28"/>
  <c r="G20" i="28" s="1"/>
  <c r="E14" i="28"/>
  <c r="E18" i="28"/>
  <c r="E20" i="28" s="1"/>
  <c r="K10" i="2"/>
  <c r="J10" i="2"/>
  <c r="C4" i="4"/>
  <c r="L10" i="2"/>
  <c r="L21" i="4"/>
  <c r="I24" i="4"/>
  <c r="E29" i="4" s="1"/>
  <c r="K24" i="4"/>
  <c r="I18" i="4"/>
  <c r="E28" i="4" s="1"/>
  <c r="K18" i="4"/>
  <c r="D4" i="4"/>
  <c r="E319" i="2" l="1"/>
  <c r="E31" i="4"/>
  <c r="L18" i="4"/>
  <c r="E27" i="4"/>
  <c r="F29" i="4" s="1"/>
  <c r="L24" i="4"/>
  <c r="F312" i="2" l="1"/>
  <c r="F309" i="2"/>
  <c r="F311" i="2"/>
  <c r="F310" i="2"/>
  <c r="F31" i="4"/>
  <c r="F28" i="4"/>
  <c r="E33" i="4"/>
  <c r="F33" i="4" s="1"/>
  <c r="F27" i="4"/>
  <c r="I71" i="2" l="1"/>
  <c r="J71" i="2" s="1"/>
  <c r="I70" i="2"/>
  <c r="J70" i="2" s="1"/>
  <c r="L71" i="2" l="1"/>
  <c r="L70" i="2"/>
  <c r="R9" i="2" l="1"/>
  <c r="M12" i="28" s="1"/>
  <c r="N9" i="2"/>
  <c r="I12" i="28" s="1"/>
  <c r="M9" i="2"/>
  <c r="H12" i="28" s="1"/>
  <c r="M70" i="2"/>
  <c r="M71" i="2"/>
  <c r="H14" i="28" l="1"/>
  <c r="H18" i="28"/>
  <c r="H20" i="28" s="1"/>
  <c r="I14" i="28"/>
  <c r="I18" i="28"/>
  <c r="I20" i="28" s="1"/>
  <c r="M14" i="28"/>
  <c r="M18" i="28"/>
  <c r="M20" i="28" s="1"/>
  <c r="M10" i="2"/>
  <c r="N10" i="2"/>
  <c r="K25" i="2" l="1"/>
  <c r="M23" i="2" l="1"/>
  <c r="M24" i="2"/>
  <c r="I76" i="2"/>
  <c r="J76" i="2" l="1"/>
  <c r="L76" i="2"/>
  <c r="M25" i="2"/>
  <c r="Q9" i="2" l="1"/>
  <c r="O9" i="2"/>
  <c r="J12" i="28" s="1"/>
  <c r="M76" i="2"/>
  <c r="J14" i="28" l="1"/>
  <c r="J18" i="28"/>
  <c r="J20" i="28" s="1"/>
  <c r="Q10" i="2"/>
  <c r="L12" i="28"/>
  <c r="R10" i="2"/>
  <c r="P10" i="2"/>
  <c r="R12" i="2"/>
  <c r="O10" i="2"/>
  <c r="R11" i="2"/>
  <c r="I319" i="2"/>
  <c r="L14" i="28" l="1"/>
  <c r="L18" i="28"/>
  <c r="L20" i="28" s="1"/>
  <c r="F319" i="2"/>
  <c r="E136" i="8" l="1"/>
  <c r="N44" i="8" l="1"/>
  <c r="F164" i="8" l="1"/>
  <c r="F193" i="8" s="1"/>
  <c r="E164" i="8"/>
  <c r="T13" i="28" s="1"/>
  <c r="T19" i="28" s="1"/>
  <c r="O44" i="8"/>
  <c r="Y9" i="2" l="1"/>
  <c r="T12" i="28" s="1"/>
  <c r="F192" i="8"/>
  <c r="N46" i="8"/>
  <c r="O150" i="8" s="1"/>
  <c r="T14" i="28" l="1"/>
  <c r="T18" i="28"/>
  <c r="T20" i="28" s="1"/>
  <c r="Z10" i="2"/>
  <c r="Y10" i="2"/>
  <c r="F135" i="8"/>
  <c r="F137" i="8" s="1"/>
  <c r="E149" i="8"/>
  <c r="N129" i="8"/>
  <c r="O46" i="8"/>
  <c r="E150" i="8"/>
  <c r="E193" i="8" l="1"/>
  <c r="N13" i="28"/>
  <c r="Q130" i="8"/>
  <c r="E135" i="8"/>
  <c r="E137" i="8" s="1"/>
  <c r="K17" i="2" s="1"/>
  <c r="E192" i="8"/>
  <c r="N19" i="28" l="1"/>
  <c r="AB19" i="28" s="1"/>
  <c r="AB13" i="28"/>
  <c r="I82" i="2"/>
  <c r="L82" i="2" s="1"/>
  <c r="I110" i="2"/>
  <c r="L110" i="2" s="1"/>
  <c r="K19" i="2" l="1"/>
  <c r="L204" i="2"/>
  <c r="K18" i="2"/>
  <c r="M354" i="2"/>
  <c r="W9" i="2"/>
  <c r="R12" i="28" s="1"/>
  <c r="S9" i="2"/>
  <c r="N12" i="28" s="1"/>
  <c r="U9" i="2"/>
  <c r="P12" i="28" s="1"/>
  <c r="J82" i="2"/>
  <c r="J110" i="2"/>
  <c r="M110" i="2" s="1"/>
  <c r="P18" i="28" l="1"/>
  <c r="P20" i="28" s="1"/>
  <c r="P14" i="28"/>
  <c r="R14" i="28"/>
  <c r="R18" i="28"/>
  <c r="R20" i="28" s="1"/>
  <c r="N18" i="28"/>
  <c r="N14" i="28"/>
  <c r="AB14" i="28" s="1"/>
  <c r="AB12" i="28"/>
  <c r="AF17" i="2"/>
  <c r="AF15" i="2"/>
  <c r="AF16" i="2" s="1"/>
  <c r="AD12" i="2"/>
  <c r="AD11" i="2"/>
  <c r="AD13" i="2" s="1"/>
  <c r="AF13" i="2"/>
  <c r="I47" i="24"/>
  <c r="T10" i="2"/>
  <c r="X10" i="2"/>
  <c r="W10" i="2"/>
  <c r="S10" i="2"/>
  <c r="K225" i="2"/>
  <c r="M225" i="2"/>
  <c r="G4" i="28" s="1"/>
  <c r="U10" i="2"/>
  <c r="V10" i="2"/>
  <c r="K33" i="24"/>
  <c r="L33" i="24" s="1"/>
  <c r="K21" i="2"/>
  <c r="L205" i="2"/>
  <c r="H205" i="2"/>
  <c r="M82" i="2"/>
  <c r="T218" i="2" l="1"/>
  <c r="T220" i="2"/>
  <c r="N20" i="28"/>
  <c r="AB20" i="28" s="1"/>
  <c r="AB18" i="28"/>
  <c r="P225" i="2"/>
  <c r="O225" i="2"/>
  <c r="G6" i="28"/>
  <c r="T212" i="2"/>
  <c r="T214" i="2"/>
  <c r="T216" i="2"/>
  <c r="I44" i="24"/>
  <c r="I49" i="24"/>
  <c r="H23" i="2"/>
  <c r="G17" i="2"/>
  <c r="K31" i="24"/>
  <c r="L31" i="24" s="1"/>
  <c r="T210" i="2"/>
  <c r="G19" i="2"/>
  <c r="G3" i="2"/>
  <c r="D5" i="2" s="1"/>
  <c r="L32" i="24"/>
  <c r="D12" i="11"/>
  <c r="D13" i="11"/>
  <c r="F3" i="2" l="1"/>
  <c r="F4" i="28"/>
  <c r="I4" i="28" s="1"/>
  <c r="K34" i="24"/>
  <c r="L34" i="24"/>
  <c r="E13" i="11"/>
  <c r="F13" i="11" s="1"/>
  <c r="E12" i="11"/>
  <c r="F12" i="11" s="1"/>
  <c r="F6" i="28" l="1"/>
  <c r="J4" i="28"/>
  <c r="E34" i="17"/>
  <c r="K4" i="28" l="1"/>
  <c r="I6" i="28"/>
  <c r="G25" i="2"/>
  <c r="E37" i="17"/>
  <c r="E38" i="17" s="1"/>
  <c r="E31" i="17"/>
  <c r="E52" i="17"/>
  <c r="E53" i="17" s="1"/>
  <c r="E47" i="17"/>
  <c r="E48" i="17" s="1"/>
  <c r="E33" i="17"/>
  <c r="E32" i="16"/>
  <c r="E52" i="16" s="1"/>
  <c r="E53" i="16" s="1"/>
  <c r="D37" i="17"/>
  <c r="D38" i="17" s="1"/>
  <c r="D31" i="17"/>
  <c r="D52" i="17"/>
  <c r="D53" i="17" s="1"/>
  <c r="D47" i="17"/>
  <c r="D48" i="17" s="1"/>
  <c r="H33" i="17"/>
  <c r="I33" i="17"/>
  <c r="D33" i="17"/>
  <c r="C33" i="17"/>
  <c r="F33" i="17"/>
  <c r="G33" i="17"/>
  <c r="H20" i="2"/>
  <c r="J6" i="28" l="1"/>
  <c r="K6" i="28" s="1"/>
  <c r="N225" i="2"/>
  <c r="E47" i="16"/>
  <c r="E48" i="16" s="1"/>
  <c r="E37" i="16"/>
  <c r="E38" i="16" s="1"/>
  <c r="E31" i="16"/>
  <c r="E34" i="16"/>
  <c r="D11" i="11"/>
  <c r="E11" i="11" s="1"/>
  <c r="E10" i="11" s="1"/>
  <c r="E20" i="2"/>
  <c r="G20" i="2" s="1"/>
  <c r="D8" i="2"/>
  <c r="E10" i="2" s="1"/>
  <c r="F24" i="2"/>
  <c r="E25" i="2"/>
  <c r="H25" i="2" s="1"/>
  <c r="F23" i="2"/>
  <c r="H21" i="2" l="1"/>
  <c r="T225" i="2"/>
  <c r="D10" i="11"/>
  <c r="F10" i="11" s="1"/>
  <c r="F25" i="2"/>
  <c r="E9" i="2"/>
  <c r="F19" i="2"/>
  <c r="F18" i="2"/>
  <c r="F17" i="2"/>
  <c r="F11" i="11"/>
  <c r="F20" i="2" l="1"/>
  <c r="D52" i="16"/>
  <c r="D53" i="16" s="1"/>
  <c r="D37" i="16" l="1"/>
  <c r="D47" i="16"/>
  <c r="D33" i="16"/>
  <c r="C33" i="16"/>
  <c r="H33" i="16"/>
  <c r="F33" i="16"/>
  <c r="I33" i="16"/>
  <c r="G33" i="16"/>
  <c r="E33" i="16"/>
  <c r="D48" i="16" l="1"/>
  <c r="D38" i="16"/>
  <c r="U14" i="25" l="1"/>
  <c r="U12" i="25"/>
  <c r="U17" i="25"/>
  <c r="U15" i="25"/>
  <c r="U11" i="25"/>
  <c r="U13" i="25"/>
  <c r="U16" i="25"/>
  <c r="W16" i="25"/>
  <c r="V14" i="25"/>
  <c r="V17" i="25"/>
  <c r="V13" i="25"/>
  <c r="V11" i="25"/>
  <c r="W11" i="25"/>
  <c r="W14" i="25"/>
  <c r="V16" i="25"/>
  <c r="V12" i="25"/>
  <c r="V15" i="25"/>
  <c r="W17" i="25"/>
  <c r="W13" i="25"/>
  <c r="W12" i="25"/>
  <c r="W15" i="25"/>
  <c r="U13" i="13"/>
  <c r="U12" i="13"/>
  <c r="U17" i="13"/>
  <c r="U18" i="13"/>
  <c r="U14" i="13"/>
  <c r="U15" i="13"/>
  <c r="U16" i="13"/>
  <c r="W14" i="13"/>
  <c r="W17" i="13"/>
  <c r="W18" i="13"/>
  <c r="V17" i="13"/>
  <c r="V13" i="13"/>
  <c r="W12" i="13"/>
  <c r="V18" i="13"/>
  <c r="W13" i="13"/>
  <c r="V15" i="13"/>
  <c r="V14" i="13"/>
  <c r="V16" i="13"/>
  <c r="V12" i="13"/>
  <c r="W16" i="13"/>
  <c r="W15" i="13"/>
  <c r="U17" i="22"/>
  <c r="U12" i="22"/>
  <c r="U15" i="22"/>
  <c r="U13" i="22"/>
  <c r="U16" i="22"/>
  <c r="U14" i="22"/>
  <c r="U18" i="22"/>
  <c r="W17" i="22"/>
  <c r="W14" i="22"/>
  <c r="W16" i="22"/>
  <c r="V13" i="22"/>
  <c r="V16" i="22"/>
  <c r="V17" i="22"/>
  <c r="W18" i="22"/>
  <c r="V14" i="22"/>
  <c r="V12" i="22"/>
  <c r="W13" i="22"/>
  <c r="W12" i="22"/>
  <c r="W15" i="22"/>
  <c r="V15" i="22"/>
  <c r="V18" i="22"/>
  <c r="D3" i="2"/>
  <c r="G4" i="2"/>
  <c r="F4" i="2" s="1"/>
  <c r="U218" i="2" l="1"/>
  <c r="U220" i="2"/>
  <c r="U212" i="2"/>
  <c r="U214" i="2"/>
  <c r="U216" i="2"/>
  <c r="U210" i="2"/>
  <c r="G49" i="24"/>
  <c r="G312" i="2"/>
  <c r="G309" i="2"/>
  <c r="E324" i="2" s="1"/>
  <c r="G311" i="2"/>
  <c r="G310" i="2"/>
  <c r="E325" i="2" s="1"/>
  <c r="G319" i="2"/>
  <c r="E321" i="2"/>
  <c r="G321" i="2" s="1"/>
  <c r="E8" i="2"/>
  <c r="D11" i="2"/>
  <c r="C4" i="28" s="1"/>
  <c r="C6" i="28" l="1"/>
  <c r="D6" i="28" s="1"/>
  <c r="D4" i="28"/>
  <c r="E323" i="2"/>
  <c r="E326" i="2" s="1"/>
  <c r="G40" i="24"/>
  <c r="J49" i="24"/>
  <c r="G44" i="24"/>
  <c r="U225" i="2"/>
  <c r="D4" i="11"/>
  <c r="I5" i="11" s="1"/>
  <c r="D12" i="2"/>
  <c r="E11" i="2"/>
  <c r="D13" i="2" l="1"/>
  <c r="O226" i="2" s="1"/>
  <c r="P226" i="2" s="1"/>
  <c r="P227" i="2" s="1"/>
  <c r="P228" i="2" s="1"/>
  <c r="G46" i="24"/>
  <c r="J46" i="24" s="1"/>
  <c r="G45" i="24"/>
  <c r="J45" i="24" s="1"/>
  <c r="G47" i="24"/>
  <c r="J47" i="24" s="1"/>
  <c r="G42" i="24"/>
  <c r="J42" i="24" s="1"/>
  <c r="G41" i="24"/>
  <c r="J41" i="24" s="1"/>
  <c r="G43" i="24"/>
  <c r="J43" i="24" s="1"/>
  <c r="D17" i="11"/>
  <c r="D5" i="11"/>
  <c r="Q226" i="2" l="1"/>
  <c r="Q227" i="2" s="1"/>
  <c r="O227" i="2"/>
  <c r="O228" i="2" s="1"/>
  <c r="J40" i="24"/>
  <c r="J44" i="24"/>
  <c r="H5" i="2"/>
  <c r="H3" i="2"/>
  <c r="H4" i="2"/>
  <c r="D7" i="11"/>
  <c r="D6" i="11"/>
  <c r="E19" i="11"/>
  <c r="F19" i="11"/>
  <c r="F17" i="11"/>
  <c r="D20" i="11"/>
  <c r="D19" i="11" s="1"/>
  <c r="F32" i="11" s="1"/>
  <c r="F37" i="11" l="1"/>
  <c r="F36" i="11"/>
  <c r="F20" i="11"/>
  <c r="H32" i="11"/>
  <c r="E20" i="11"/>
  <c r="G32" i="11"/>
  <c r="G37" i="11" l="1"/>
  <c r="G36" i="11"/>
  <c r="H36" i="11"/>
  <c r="H37"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5">
    <bk>
      <extLst>
        <ext uri="{3e2802c4-a4d2-4d8b-9148-e3be6c30e623}">
          <xlrd:rvb i="2"/>
        </ext>
      </extLst>
    </bk>
    <bk>
      <extLst>
        <ext uri="{3e2802c4-a4d2-4d8b-9148-e3be6c30e623}">
          <xlrd:rvb i="9"/>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7"/>
        </ext>
      </extLst>
    </bk>
    <bk>
      <extLst>
        <ext uri="{3e2802c4-a4d2-4d8b-9148-e3be6c30e623}">
          <xlrd:rvb i="70"/>
        </ext>
      </extLst>
    </bk>
    <bk>
      <extLst>
        <ext uri="{3e2802c4-a4d2-4d8b-9148-e3be6c30e623}">
          <xlrd:rvb i="76"/>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6"/>
        </ext>
      </extLst>
    </bk>
    <bk>
      <extLst>
        <ext uri="{3e2802c4-a4d2-4d8b-9148-e3be6c30e623}">
          <xlrd:rvb i="139"/>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6"/>
        </ext>
      </extLst>
    </bk>
    <bk>
      <extLst>
        <ext uri="{3e2802c4-a4d2-4d8b-9148-e3be6c30e623}">
          <xlrd:rvb i="169"/>
        </ext>
      </extLst>
    </bk>
    <bk>
      <extLst>
        <ext uri="{3e2802c4-a4d2-4d8b-9148-e3be6c30e623}">
          <xlrd:rvb i="172"/>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6"/>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42"/>
        </ext>
      </extLst>
    </bk>
    <bk>
      <extLst>
        <ext uri="{3e2802c4-a4d2-4d8b-9148-e3be6c30e623}">
          <xlrd:rvb i="245"/>
        </ext>
      </extLst>
    </bk>
    <bk>
      <extLst>
        <ext uri="{3e2802c4-a4d2-4d8b-9148-e3be6c30e623}">
          <xlrd:rvb i="247"/>
        </ext>
      </extLst>
    </bk>
    <bk>
      <extLst>
        <ext uri="{3e2802c4-a4d2-4d8b-9148-e3be6c30e623}">
          <xlrd:rvb i="253"/>
        </ext>
      </extLst>
    </bk>
    <bk>
      <extLst>
        <ext uri="{3e2802c4-a4d2-4d8b-9148-e3be6c30e623}">
          <xlrd:rvb i="259"/>
        </ext>
      </extLst>
    </bk>
    <bk>
      <extLst>
        <ext uri="{3e2802c4-a4d2-4d8b-9148-e3be6c30e623}">
          <xlrd:rvb i="265"/>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8"/>
        </ext>
      </extLst>
    </bk>
    <bk>
      <extLst>
        <ext uri="{3e2802c4-a4d2-4d8b-9148-e3be6c30e623}">
          <xlrd:rvb i="299"/>
        </ext>
      </extLst>
    </bk>
    <bk>
      <extLst>
        <ext uri="{3e2802c4-a4d2-4d8b-9148-e3be6c30e623}">
          <xlrd:rvb i="302"/>
        </ext>
      </extLst>
    </bk>
    <bk>
      <extLst>
        <ext uri="{3e2802c4-a4d2-4d8b-9148-e3be6c30e623}">
          <xlrd:rvb i="308"/>
        </ext>
      </extLst>
    </bk>
    <bk>
      <extLst>
        <ext uri="{3e2802c4-a4d2-4d8b-9148-e3be6c30e623}">
          <xlrd:rvb i="314"/>
        </ext>
      </extLst>
    </bk>
    <bk>
      <extLst>
        <ext uri="{3e2802c4-a4d2-4d8b-9148-e3be6c30e623}">
          <xlrd:rvb i="317"/>
        </ext>
      </extLst>
    </bk>
    <bk>
      <extLst>
        <ext uri="{3e2802c4-a4d2-4d8b-9148-e3be6c30e623}">
          <xlrd:rvb i="320"/>
        </ext>
      </extLst>
    </bk>
    <bk>
      <extLst>
        <ext uri="{3e2802c4-a4d2-4d8b-9148-e3be6c30e623}">
          <xlrd:rvb i="326"/>
        </ext>
      </extLst>
    </bk>
    <bk>
      <extLst>
        <ext uri="{3e2802c4-a4d2-4d8b-9148-e3be6c30e623}">
          <xlrd:rvb i="329"/>
        </ext>
      </extLst>
    </bk>
    <bk>
      <extLst>
        <ext uri="{3e2802c4-a4d2-4d8b-9148-e3be6c30e623}">
          <xlrd:rvb i="332"/>
        </ext>
      </extLst>
    </bk>
    <bk>
      <extLst>
        <ext uri="{3e2802c4-a4d2-4d8b-9148-e3be6c30e623}">
          <xlrd:rvb i="335"/>
        </ext>
      </extLst>
    </bk>
    <bk>
      <extLst>
        <ext uri="{3e2802c4-a4d2-4d8b-9148-e3be6c30e623}">
          <xlrd:rvb i="338"/>
        </ext>
      </extLst>
    </bk>
    <bk>
      <extLst>
        <ext uri="{3e2802c4-a4d2-4d8b-9148-e3be6c30e623}">
          <xlrd:rvb i="341"/>
        </ext>
      </extLst>
    </bk>
    <bk>
      <extLst>
        <ext uri="{3e2802c4-a4d2-4d8b-9148-e3be6c30e623}">
          <xlrd:rvb i="344"/>
        </ext>
      </extLst>
    </bk>
    <bk>
      <extLst>
        <ext uri="{3e2802c4-a4d2-4d8b-9148-e3be6c30e623}">
          <xlrd:rvb i="347"/>
        </ext>
      </extLst>
    </bk>
    <bk>
      <extLst>
        <ext uri="{3e2802c4-a4d2-4d8b-9148-e3be6c30e623}">
          <xlrd:rvb i="350"/>
        </ext>
      </extLst>
    </bk>
    <bk>
      <extLst>
        <ext uri="{3e2802c4-a4d2-4d8b-9148-e3be6c30e623}">
          <xlrd:rvb i="356"/>
        </ext>
      </extLst>
    </bk>
    <bk>
      <extLst>
        <ext uri="{3e2802c4-a4d2-4d8b-9148-e3be6c30e623}">
          <xlrd:rvb i="362"/>
        </ext>
      </extLst>
    </bk>
    <bk>
      <extLst>
        <ext uri="{3e2802c4-a4d2-4d8b-9148-e3be6c30e623}">
          <xlrd:rvb i="365"/>
        </ext>
      </extLst>
    </bk>
    <bk>
      <extLst>
        <ext uri="{3e2802c4-a4d2-4d8b-9148-e3be6c30e623}">
          <xlrd:rvb i="371"/>
        </ext>
      </extLst>
    </bk>
    <bk>
      <extLst>
        <ext uri="{3e2802c4-a4d2-4d8b-9148-e3be6c30e623}">
          <xlrd:rvb i="374"/>
        </ext>
      </extLst>
    </bk>
    <bk>
      <extLst>
        <ext uri="{3e2802c4-a4d2-4d8b-9148-e3be6c30e623}">
          <xlrd:rvb i="377"/>
        </ext>
      </extLst>
    </bk>
    <bk>
      <extLst>
        <ext uri="{3e2802c4-a4d2-4d8b-9148-e3be6c30e623}">
          <xlrd:rvb i="380"/>
        </ext>
      </extLst>
    </bk>
    <bk>
      <extLst>
        <ext uri="{3e2802c4-a4d2-4d8b-9148-e3be6c30e623}">
          <xlrd:rvb i="383"/>
        </ext>
      </extLst>
    </bk>
    <bk>
      <extLst>
        <ext uri="{3e2802c4-a4d2-4d8b-9148-e3be6c30e623}">
          <xlrd:rvb i="386"/>
        </ext>
      </extLst>
    </bk>
    <bk>
      <extLst>
        <ext uri="{3e2802c4-a4d2-4d8b-9148-e3be6c30e623}">
          <xlrd:rvb i="392"/>
        </ext>
      </extLst>
    </bk>
    <bk>
      <extLst>
        <ext uri="{3e2802c4-a4d2-4d8b-9148-e3be6c30e623}">
          <xlrd:rvb i="395"/>
        </ext>
      </extLst>
    </bk>
    <bk>
      <extLst>
        <ext uri="{3e2802c4-a4d2-4d8b-9148-e3be6c30e623}">
          <xlrd:rvb i="398"/>
        </ext>
      </extLst>
    </bk>
    <bk>
      <extLst>
        <ext uri="{3e2802c4-a4d2-4d8b-9148-e3be6c30e623}">
          <xlrd:rvb i="404"/>
        </ext>
      </extLst>
    </bk>
    <bk>
      <extLst>
        <ext uri="{3e2802c4-a4d2-4d8b-9148-e3be6c30e623}">
          <xlrd:rvb i="411"/>
        </ext>
      </extLst>
    </bk>
    <bk>
      <extLst>
        <ext uri="{3e2802c4-a4d2-4d8b-9148-e3be6c30e623}">
          <xlrd:rvb i="414"/>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9"/>
        </ext>
      </extLst>
    </bk>
    <bk>
      <extLst>
        <ext uri="{3e2802c4-a4d2-4d8b-9148-e3be6c30e623}">
          <xlrd:rvb i="432"/>
        </ext>
      </extLst>
    </bk>
    <bk>
      <extLst>
        <ext uri="{3e2802c4-a4d2-4d8b-9148-e3be6c30e623}">
          <xlrd:rvb i="434"/>
        </ext>
      </extLst>
    </bk>
    <bk>
      <extLst>
        <ext uri="{3e2802c4-a4d2-4d8b-9148-e3be6c30e623}">
          <xlrd:rvb i="436"/>
        </ext>
      </extLst>
    </bk>
    <bk>
      <extLst>
        <ext uri="{3e2802c4-a4d2-4d8b-9148-e3be6c30e623}">
          <xlrd:rvb i="438"/>
        </ext>
      </extLst>
    </bk>
    <bk>
      <extLst>
        <ext uri="{3e2802c4-a4d2-4d8b-9148-e3be6c30e623}">
          <xlrd:rvb i="440"/>
        </ext>
      </extLst>
    </bk>
    <bk>
      <extLst>
        <ext uri="{3e2802c4-a4d2-4d8b-9148-e3be6c30e623}">
          <xlrd:rvb i="442"/>
        </ext>
      </extLst>
    </bk>
    <bk>
      <extLst>
        <ext uri="{3e2802c4-a4d2-4d8b-9148-e3be6c30e623}">
          <xlrd:rvb i="444"/>
        </ext>
      </extLst>
    </bk>
    <bk>
      <extLst>
        <ext uri="{3e2802c4-a4d2-4d8b-9148-e3be6c30e623}">
          <xlrd:rvb i="446"/>
        </ext>
      </extLst>
    </bk>
    <bk>
      <extLst>
        <ext uri="{3e2802c4-a4d2-4d8b-9148-e3be6c30e623}">
          <xlrd:rvb i="448"/>
        </ext>
      </extLst>
    </bk>
    <bk>
      <extLst>
        <ext uri="{3e2802c4-a4d2-4d8b-9148-e3be6c30e623}">
          <xlrd:rvb i="450"/>
        </ext>
      </extLst>
    </bk>
    <bk>
      <extLst>
        <ext uri="{3e2802c4-a4d2-4d8b-9148-e3be6c30e623}">
          <xlrd:rvb i="452"/>
        </ext>
      </extLst>
    </bk>
    <bk>
      <extLst>
        <ext uri="{3e2802c4-a4d2-4d8b-9148-e3be6c30e623}">
          <xlrd:rvb i="454"/>
        </ext>
      </extLst>
    </bk>
    <bk>
      <extLst>
        <ext uri="{3e2802c4-a4d2-4d8b-9148-e3be6c30e623}">
          <xlrd:rvb i="456"/>
        </ext>
      </extLst>
    </bk>
    <bk>
      <extLst>
        <ext uri="{3e2802c4-a4d2-4d8b-9148-e3be6c30e623}">
          <xlrd:rvb i="458"/>
        </ext>
      </extLst>
    </bk>
    <bk>
      <extLst>
        <ext uri="{3e2802c4-a4d2-4d8b-9148-e3be6c30e623}">
          <xlrd:rvb i="460"/>
        </ext>
      </extLst>
    </bk>
    <bk>
      <extLst>
        <ext uri="{3e2802c4-a4d2-4d8b-9148-e3be6c30e623}">
          <xlrd:rvb i="462"/>
        </ext>
      </extLst>
    </bk>
    <bk>
      <extLst>
        <ext uri="{3e2802c4-a4d2-4d8b-9148-e3be6c30e623}">
          <xlrd:rvb i="465"/>
        </ext>
      </extLst>
    </bk>
  </futureMetadata>
  <cellMetadata count="1">
    <bk>
      <rc t="1" v="0"/>
    </bk>
  </cellMetadata>
  <valueMetadata count="13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valueMetadata>
</metadata>
</file>

<file path=xl/sharedStrings.xml><?xml version="1.0" encoding="utf-8"?>
<sst xmlns="http://schemas.openxmlformats.org/spreadsheetml/2006/main" count="2495" uniqueCount="446">
  <si>
    <t>Stock Name</t>
  </si>
  <si>
    <t>Market</t>
  </si>
  <si>
    <t>Buy Price</t>
  </si>
  <si>
    <t>Quantity</t>
  </si>
  <si>
    <t>Fee</t>
  </si>
  <si>
    <t>Total</t>
  </si>
  <si>
    <t>Average Price</t>
  </si>
  <si>
    <t>HK</t>
  </si>
  <si>
    <t>Current Price</t>
  </si>
  <si>
    <t>Gain/Loss</t>
  </si>
  <si>
    <t>NASDAQ</t>
  </si>
  <si>
    <t>Currency</t>
  </si>
  <si>
    <t>HKD</t>
  </si>
  <si>
    <t>USD</t>
  </si>
  <si>
    <t xml:space="preserve">Cash in </t>
  </si>
  <si>
    <t>Investment</t>
  </si>
  <si>
    <t>Balance</t>
  </si>
  <si>
    <t>Date</t>
  </si>
  <si>
    <t>Lost</t>
  </si>
  <si>
    <t>Return</t>
  </si>
  <si>
    <t>Ratio</t>
  </si>
  <si>
    <t>NYSE</t>
  </si>
  <si>
    <t>Open</t>
  </si>
  <si>
    <t>Realized Gain</t>
  </si>
  <si>
    <t>1st</t>
  </si>
  <si>
    <t>2nd</t>
  </si>
  <si>
    <t>3rd</t>
  </si>
  <si>
    <t>Worst</t>
  </si>
  <si>
    <t>Total Investment</t>
  </si>
  <si>
    <t>Cash Balance</t>
  </si>
  <si>
    <t>P/L</t>
  </si>
  <si>
    <t>Scenario</t>
  </si>
  <si>
    <t xml:space="preserve"> </t>
  </si>
  <si>
    <t>IDX</t>
  </si>
  <si>
    <t>IDR</t>
  </si>
  <si>
    <t>AMEX</t>
  </si>
  <si>
    <t>Risk Profile</t>
  </si>
  <si>
    <t>A</t>
  </si>
  <si>
    <t>B</t>
  </si>
  <si>
    <t>C</t>
  </si>
  <si>
    <t>Target</t>
  </si>
  <si>
    <t>P/L (USD)</t>
  </si>
  <si>
    <t>Amount</t>
  </si>
  <si>
    <t>MA5</t>
  </si>
  <si>
    <t>MA10</t>
  </si>
  <si>
    <t>MA30</t>
  </si>
  <si>
    <t>MA60</t>
  </si>
  <si>
    <t>Price</t>
  </si>
  <si>
    <t>Realized</t>
  </si>
  <si>
    <t>Overall</t>
  </si>
  <si>
    <t>No.</t>
  </si>
  <si>
    <t>&lt;5%</t>
  </si>
  <si>
    <t>&gt;=5%</t>
  </si>
  <si>
    <t>&lt;0%</t>
  </si>
  <si>
    <t>Target Gain</t>
  </si>
  <si>
    <t>Open Date</t>
  </si>
  <si>
    <t>Exit Price</t>
  </si>
  <si>
    <t>Worst Scenario</t>
  </si>
  <si>
    <t>Total Cash</t>
  </si>
  <si>
    <t>Exit Transactions</t>
  </si>
  <si>
    <t>52 wks high</t>
  </si>
  <si>
    <t>52 wks low</t>
  </si>
  <si>
    <t>Good Price</t>
  </si>
  <si>
    <t>PB</t>
  </si>
  <si>
    <t>PE</t>
  </si>
  <si>
    <t>MA20</t>
  </si>
  <si>
    <t>MA50</t>
  </si>
  <si>
    <t>HKEx</t>
  </si>
  <si>
    <t>USEx</t>
  </si>
  <si>
    <t>Composition</t>
  </si>
  <si>
    <t>Monthly</t>
  </si>
  <si>
    <t>Realized 
Gain/Loss</t>
  </si>
  <si>
    <t>Unrealized P/L</t>
  </si>
  <si>
    <t>China Co.</t>
  </si>
  <si>
    <t>US Co.</t>
  </si>
  <si>
    <t>Portfolio</t>
  </si>
  <si>
    <t>L/R Trade</t>
  </si>
  <si>
    <t>P/L %</t>
  </si>
  <si>
    <t>Target Price</t>
  </si>
  <si>
    <t>Close Date</t>
  </si>
  <si>
    <t>Holding Days</t>
  </si>
  <si>
    <t>Historical Transactions</t>
  </si>
  <si>
    <t>Current Transactions</t>
  </si>
  <si>
    <t>Investment (USD)</t>
  </si>
  <si>
    <t>Transaction History</t>
  </si>
  <si>
    <t>AMD</t>
  </si>
  <si>
    <t>Alibaba</t>
  </si>
  <si>
    <t>ICBC</t>
  </si>
  <si>
    <t>ALTERYX</t>
  </si>
  <si>
    <t>AT&amp;T</t>
  </si>
  <si>
    <t>BANK OF CHINA</t>
  </si>
  <si>
    <t>BERKSHIRE HATHAWAY</t>
  </si>
  <si>
    <t>DELTA AIR LINES</t>
  </si>
  <si>
    <t>EA</t>
  </si>
  <si>
    <t>FACEBOOK</t>
  </si>
  <si>
    <t>INTEL</t>
  </si>
  <si>
    <t xml:space="preserve">Li Auto </t>
  </si>
  <si>
    <t xml:space="preserve">LUFAX </t>
  </si>
  <si>
    <t>LYFT</t>
  </si>
  <si>
    <t>NETEASE</t>
  </si>
  <si>
    <t xml:space="preserve">PFIZER </t>
  </si>
  <si>
    <t>QUALCOMM</t>
  </si>
  <si>
    <t>ROYAL CARIBBEAN</t>
  </si>
  <si>
    <t xml:space="preserve">SERVICE CORPORATION </t>
  </si>
  <si>
    <t>TESLA</t>
  </si>
  <si>
    <t xml:space="preserve">THE WALT DISNEY </t>
  </si>
  <si>
    <t>XPENG</t>
  </si>
  <si>
    <t>TDOC</t>
  </si>
  <si>
    <t>HUYA</t>
  </si>
  <si>
    <t>BLIZZARD</t>
  </si>
  <si>
    <t>Nvidia</t>
  </si>
  <si>
    <t>NIO</t>
  </si>
  <si>
    <t>01/13/2021</t>
  </si>
  <si>
    <t>01/14/2021</t>
  </si>
  <si>
    <t>China Telcom</t>
  </si>
  <si>
    <t>Book Gain/Loss</t>
  </si>
  <si>
    <t>01/15/2021</t>
  </si>
  <si>
    <t>Zoom</t>
  </si>
  <si>
    <t>01/18/2021</t>
  </si>
  <si>
    <t>China Mobile</t>
  </si>
  <si>
    <t>01/19/2021</t>
  </si>
  <si>
    <t>Total paid fee</t>
  </si>
  <si>
    <t>Gain</t>
  </si>
  <si>
    <t>Loss</t>
  </si>
  <si>
    <t>Transactions</t>
  </si>
  <si>
    <t>Brokerage Fee</t>
  </si>
  <si>
    <t>Foreign Exchange Fee</t>
  </si>
  <si>
    <t>US</t>
  </si>
  <si>
    <t>Grade of Investment</t>
  </si>
  <si>
    <t>Financing Quantum</t>
  </si>
  <si>
    <t>IM Factor</t>
  </si>
  <si>
    <t>MM Factor</t>
  </si>
  <si>
    <t>FM Factor</t>
  </si>
  <si>
    <t>Margin Factor</t>
  </si>
  <si>
    <t>Equity Balance</t>
  </si>
  <si>
    <t>Grade A</t>
  </si>
  <si>
    <t>Grade B</t>
  </si>
  <si>
    <t>Grade C</t>
  </si>
  <si>
    <t>Cash</t>
  </si>
  <si>
    <t xml:space="preserve">                         Purchase
Deposit   </t>
  </si>
  <si>
    <t>Grade</t>
  </si>
  <si>
    <t>Initial Credit</t>
  </si>
  <si>
    <t>Tradable Balance</t>
  </si>
  <si>
    <t>Market Value</t>
  </si>
  <si>
    <t>Gilead</t>
  </si>
  <si>
    <t>TAL</t>
  </si>
  <si>
    <t>REGN</t>
  </si>
  <si>
    <t>Initial Margin</t>
  </si>
  <si>
    <t>Cash Equivalent</t>
  </si>
  <si>
    <t>01/20/2021</t>
  </si>
  <si>
    <t>Buy A</t>
  </si>
  <si>
    <t>Buy B</t>
  </si>
  <si>
    <t>Buy C</t>
  </si>
  <si>
    <t>Forex SGD to USD</t>
  </si>
  <si>
    <t>SGD</t>
  </si>
  <si>
    <t>Investment Portfolio</t>
  </si>
  <si>
    <t>Stock</t>
  </si>
  <si>
    <t>Buy</t>
  </si>
  <si>
    <t>Sell Price</t>
  </si>
  <si>
    <t>01/12/2021</t>
  </si>
  <si>
    <t>(USD)</t>
  </si>
  <si>
    <t>01/21/2021</t>
  </si>
  <si>
    <t>01/22/2021</t>
  </si>
  <si>
    <t>GOLDMAN SACHS</t>
  </si>
  <si>
    <t>01/25/2021</t>
  </si>
  <si>
    <t>BIGC</t>
  </si>
  <si>
    <t>CN</t>
  </si>
  <si>
    <t>失败概率</t>
  </si>
  <si>
    <t>Q</t>
  </si>
  <si>
    <t>P</t>
  </si>
  <si>
    <t>赔率</t>
  </si>
  <si>
    <t>下注比率</t>
  </si>
  <si>
    <t>F</t>
  </si>
  <si>
    <t>Strategy</t>
  </si>
  <si>
    <t>目标 (止盈)</t>
  </si>
  <si>
    <t>目标 (止损)</t>
  </si>
  <si>
    <t>G</t>
  </si>
  <si>
    <t>L</t>
  </si>
  <si>
    <t>Stop Price</t>
  </si>
  <si>
    <t>01/26/2021</t>
  </si>
  <si>
    <t>Location</t>
  </si>
  <si>
    <t>Remark</t>
  </si>
  <si>
    <t>Avg</t>
  </si>
  <si>
    <t>初出茅庐，懵懂无知</t>
  </si>
  <si>
    <t>碰运气，手续费计算错误</t>
  </si>
  <si>
    <t>入场OK，手续费计算错误</t>
  </si>
  <si>
    <t>OK</t>
  </si>
  <si>
    <t>基本OK
NIO贪心，没有及时卖出</t>
  </si>
  <si>
    <t>入场OK，期望卖价偏高(60)，侥幸</t>
  </si>
  <si>
    <t>S&amp;P</t>
  </si>
  <si>
    <t>DJI</t>
  </si>
  <si>
    <t>holiday</t>
  </si>
  <si>
    <t>P %</t>
  </si>
  <si>
    <t>L %</t>
  </si>
  <si>
    <t>FB入场错误，盘中下跌心态崩，没设止损，
二次进入恐慌，太早卖</t>
  </si>
  <si>
    <t>碰运气，手续费计算错误
Zoom入场错误，下跌心态崩，没设止损</t>
  </si>
  <si>
    <t>基本胜率</t>
  </si>
  <si>
    <t>大盘</t>
  </si>
  <si>
    <t>个股</t>
  </si>
  <si>
    <t>胜率估算</t>
  </si>
  <si>
    <t>个股振幅</t>
  </si>
  <si>
    <t>涨跌</t>
  </si>
  <si>
    <t>比重</t>
  </si>
  <si>
    <t>最高增率</t>
  </si>
  <si>
    <t>估算胜率</t>
  </si>
  <si>
    <t>FB入场错误，没设止损，超侥幸</t>
  </si>
  <si>
    <t>单日停止交易</t>
  </si>
  <si>
    <t>亏损额</t>
  </si>
  <si>
    <t>亏损占现金比率</t>
  </si>
  <si>
    <t>Margin Call</t>
  </si>
  <si>
    <t>Force Selling</t>
  </si>
  <si>
    <t>Margin Interest Rate</t>
  </si>
  <si>
    <t>Daily Interest</t>
  </si>
  <si>
    <t>Interest</t>
  </si>
  <si>
    <t>Net</t>
  </si>
  <si>
    <t>BuyDate</t>
  </si>
  <si>
    <t>SellDate</t>
  </si>
  <si>
    <t>Holding</t>
  </si>
  <si>
    <t>01/28/2021</t>
  </si>
  <si>
    <t>01/27/2021</t>
  </si>
  <si>
    <t>SellPrice</t>
  </si>
  <si>
    <t>Proceeds</t>
  </si>
  <si>
    <t>Market Cap</t>
  </si>
  <si>
    <t>Margin</t>
  </si>
  <si>
    <t>Margin Interest</t>
  </si>
  <si>
    <t>Initial Deposit</t>
  </si>
  <si>
    <t>Realized Profit</t>
  </si>
  <si>
    <t>Adobe</t>
  </si>
  <si>
    <t>GLD</t>
  </si>
  <si>
    <t>Q1</t>
  </si>
  <si>
    <t>Q2</t>
  </si>
  <si>
    <t>Q3</t>
  </si>
  <si>
    <t>Q4</t>
  </si>
  <si>
    <t>Stock Price</t>
  </si>
  <si>
    <t>Gross Profit</t>
  </si>
  <si>
    <t>Cash on Hand</t>
  </si>
  <si>
    <t>Outstanding Shares</t>
  </si>
  <si>
    <t>Current Ratio</t>
  </si>
  <si>
    <t>Debt/Equity Ratio</t>
  </si>
  <si>
    <t>Gross Margin</t>
  </si>
  <si>
    <t>PE Ratio</t>
  </si>
  <si>
    <t>P/S Ratio</t>
  </si>
  <si>
    <t>P/B Ratio</t>
  </si>
  <si>
    <t>EPS</t>
  </si>
  <si>
    <t>Current</t>
  </si>
  <si>
    <t>ROE</t>
  </si>
  <si>
    <t>AVG</t>
  </si>
  <si>
    <t>Operating Margin</t>
  </si>
  <si>
    <t>Net Margin</t>
  </si>
  <si>
    <t>Revenue</t>
  </si>
  <si>
    <t>AVG 3yr</t>
  </si>
  <si>
    <t>P/E Ratio</t>
  </si>
  <si>
    <t>Entry</t>
  </si>
  <si>
    <t>Exit</t>
  </si>
  <si>
    <t>USD         SGD</t>
  </si>
  <si>
    <t>4th</t>
  </si>
  <si>
    <t>Price to IV</t>
  </si>
  <si>
    <t>Range in past 10 yr</t>
  </si>
  <si>
    <t>Min</t>
  </si>
  <si>
    <t>Med</t>
  </si>
  <si>
    <t>Max</t>
  </si>
  <si>
    <t>Industry Median</t>
  </si>
  <si>
    <t>Intrinsic Value (Projected FCF)</t>
  </si>
  <si>
    <t>Margin of Safety</t>
  </si>
  <si>
    <t>Intrinsic Value (DCF, FCF Based)</t>
  </si>
  <si>
    <t>Intrinsic Value (DCF, Earning Based)</t>
  </si>
  <si>
    <t>Correction</t>
  </si>
  <si>
    <t>Days</t>
  </si>
  <si>
    <t>Historical Ex Correction</t>
  </si>
  <si>
    <t>Avg. Daily</t>
  </si>
  <si>
    <t>High</t>
  </si>
  <si>
    <t>Low</t>
  </si>
  <si>
    <t>Avg. half hour</t>
  </si>
  <si>
    <t>SGD         USD</t>
  </si>
  <si>
    <t>Health care</t>
  </si>
  <si>
    <t>Information technology</t>
  </si>
  <si>
    <t>Consumer discretionary</t>
  </si>
  <si>
    <t>Communication services</t>
  </si>
  <si>
    <t>Financials</t>
  </si>
  <si>
    <t>Industrials</t>
  </si>
  <si>
    <t>Consumer staples</t>
  </si>
  <si>
    <t>Utilities</t>
  </si>
  <si>
    <t>Materials</t>
  </si>
  <si>
    <t>Energy</t>
  </si>
  <si>
    <t>Real estate</t>
  </si>
  <si>
    <t>S&amp;P 500</t>
  </si>
  <si>
    <t>Nasdaq</t>
  </si>
  <si>
    <t>F/W PE</t>
  </si>
  <si>
    <t>Lowest</t>
  </si>
  <si>
    <t>Median</t>
  </si>
  <si>
    <t>5 Days</t>
  </si>
  <si>
    <t>Past Volume ('000)</t>
  </si>
  <si>
    <t>03/12/2021</t>
  </si>
  <si>
    <t>Annual Goal</t>
  </si>
  <si>
    <t>JD</t>
  </si>
  <si>
    <t>03/22/2021</t>
  </si>
  <si>
    <t>卖出慌张</t>
  </si>
  <si>
    <t>Baidu</t>
  </si>
  <si>
    <t>03/23/2021</t>
  </si>
  <si>
    <t>03/24/2021</t>
  </si>
  <si>
    <t>大盘跌不应该激进</t>
  </si>
  <si>
    <t>03/25/2021</t>
  </si>
  <si>
    <t>03/25/2022</t>
  </si>
  <si>
    <t>高风险操作，应该见好就收，不勉强</t>
  </si>
  <si>
    <t>03/26/2021</t>
  </si>
  <si>
    <t>03/26/2022</t>
  </si>
  <si>
    <t>加仓区域太紧密，下跌中应该有耐心观望</t>
  </si>
  <si>
    <t>03/29/2021</t>
  </si>
  <si>
    <t>进出场太急，买入价位不应该勉强</t>
  </si>
  <si>
    <t>TSM</t>
  </si>
  <si>
    <t>BILI</t>
  </si>
  <si>
    <t>03/30/2021</t>
  </si>
  <si>
    <t>03/31/2021</t>
  </si>
  <si>
    <t>52wk High</t>
  </si>
  <si>
    <t>52wk Low</t>
  </si>
  <si>
    <t>POEMS</t>
  </si>
  <si>
    <t>MarketBeat</t>
  </si>
  <si>
    <t>Forward PE</t>
  </si>
  <si>
    <t>FPE Price</t>
  </si>
  <si>
    <t>n/a</t>
  </si>
  <si>
    <t>Class</t>
  </si>
  <si>
    <t>Median Price</t>
  </si>
  <si>
    <t>Upside</t>
  </si>
  <si>
    <t>ok</t>
  </si>
  <si>
    <t>Qcom</t>
  </si>
  <si>
    <t>Available Cash</t>
  </si>
  <si>
    <t>Available Margin</t>
  </si>
  <si>
    <t>Allocation</t>
  </si>
  <si>
    <t>Stock Picks</t>
  </si>
  <si>
    <t>Capital</t>
  </si>
  <si>
    <t>Used</t>
  </si>
  <si>
    <t>Reserve</t>
  </si>
  <si>
    <t>True Gain</t>
  </si>
  <si>
    <t>Lowest Price</t>
  </si>
  <si>
    <t>Downside</t>
  </si>
  <si>
    <t>04/01/2021</t>
  </si>
  <si>
    <t>04/12/2021</t>
  </si>
  <si>
    <t>心急</t>
  </si>
  <si>
    <t>04/13/2021</t>
  </si>
  <si>
    <t>心急，贪</t>
  </si>
  <si>
    <t>APPLE</t>
  </si>
  <si>
    <t>XPEV</t>
  </si>
  <si>
    <t>sub-total</t>
  </si>
  <si>
    <t>sub-total gain</t>
  </si>
  <si>
    <t>Total gain</t>
  </si>
  <si>
    <t>04/22/2021</t>
  </si>
  <si>
    <t>入场急</t>
  </si>
  <si>
    <t>PE 5 yr Avg</t>
  </si>
  <si>
    <t>PE Multiple</t>
  </si>
  <si>
    <t>04/26/2021</t>
  </si>
  <si>
    <t>04/27/2021</t>
  </si>
  <si>
    <t>FB入场急</t>
  </si>
  <si>
    <t>04/15/2021</t>
  </si>
  <si>
    <t>05/25/2021</t>
  </si>
  <si>
    <t>05/26/2021</t>
  </si>
  <si>
    <t>入场急，没有及时保本出场</t>
  </si>
  <si>
    <t>Long Term Holdings</t>
  </si>
  <si>
    <t>US Stocks</t>
  </si>
  <si>
    <t>China Stocks</t>
  </si>
  <si>
    <t>US1</t>
  </si>
  <si>
    <t>US2</t>
  </si>
  <si>
    <t>US3</t>
  </si>
  <si>
    <t>CN1</t>
  </si>
  <si>
    <t>CN2</t>
  </si>
  <si>
    <t>CN3</t>
  </si>
  <si>
    <t>Category</t>
  </si>
  <si>
    <t>Candidates</t>
  </si>
  <si>
    <t>Big Tech</t>
  </si>
  <si>
    <t>Value</t>
  </si>
  <si>
    <t>Ecommerce</t>
  </si>
  <si>
    <t>EV</t>
  </si>
  <si>
    <t>Low PE Tech</t>
  </si>
  <si>
    <t>BABA, JD</t>
  </si>
  <si>
    <t>NIO, XPEV</t>
  </si>
  <si>
    <t>Growth</t>
  </si>
  <si>
    <t>Current Allocation</t>
  </si>
  <si>
    <t>Over Allocation</t>
  </si>
  <si>
    <t>AAPL, AMZN, MSFT, GOOG, ADBE, NFLX, FB, PYPL</t>
  </si>
  <si>
    <t>AMD, QCOM, AYX, TDOC, MU</t>
  </si>
  <si>
    <t>07/19/2021</t>
  </si>
  <si>
    <t>07/20/2021</t>
  </si>
  <si>
    <t>07/21/2021</t>
  </si>
  <si>
    <t>07/22/2021</t>
  </si>
  <si>
    <t>07/23/2021</t>
  </si>
  <si>
    <t>GS入场急，贪婪</t>
  </si>
  <si>
    <t>07/26/2021</t>
  </si>
  <si>
    <t>中概大盘面不清晰，入场风险大，操作激进</t>
  </si>
  <si>
    <t>07/28/2021</t>
  </si>
  <si>
    <t>average month</t>
  </si>
  <si>
    <t>07/29/2021</t>
  </si>
  <si>
    <t>07/30/2021</t>
  </si>
  <si>
    <t>AMAZON</t>
  </si>
  <si>
    <t>Bilibili</t>
  </si>
  <si>
    <t>China Tower</t>
  </si>
  <si>
    <t>MU</t>
  </si>
  <si>
    <t>Apple</t>
  </si>
  <si>
    <t>NVDA</t>
  </si>
  <si>
    <t>Goldman</t>
  </si>
  <si>
    <t>Interest expense</t>
  </si>
  <si>
    <t>08/02/2021</t>
  </si>
  <si>
    <t>Jan 2, 2020</t>
  </si>
  <si>
    <t>08/03/2021</t>
  </si>
  <si>
    <t>08/04/2021</t>
  </si>
  <si>
    <t>08/13/2021</t>
  </si>
  <si>
    <t>08/14/2021</t>
  </si>
  <si>
    <t>08/17/2021</t>
  </si>
  <si>
    <t>5th</t>
  </si>
  <si>
    <t>6th</t>
  </si>
  <si>
    <t>08/18/2021</t>
  </si>
  <si>
    <t>08/16/2021</t>
  </si>
  <si>
    <t>08/19/2021</t>
  </si>
  <si>
    <t>局势不明，不应该入场，贪婪赔钱</t>
  </si>
  <si>
    <t>08/20/2021</t>
  </si>
  <si>
    <t>买点错误，急燥</t>
  </si>
  <si>
    <t>TipRanks Low</t>
  </si>
  <si>
    <t>Mar 1, 2020</t>
  </si>
  <si>
    <t>WMT, HD, LOW, MMM, MA, V, MS, JPM, GS, BRK, FDX</t>
  </si>
  <si>
    <t>09/10/2021</t>
  </si>
  <si>
    <t>BIDU, LU, China Mobile, Xiaomi, ZhongAn</t>
  </si>
  <si>
    <t>OTC</t>
  </si>
  <si>
    <t>12/9/2021</t>
  </si>
  <si>
    <t>SG Portfolio</t>
  </si>
  <si>
    <t>FUTU Portfolio</t>
  </si>
  <si>
    <t>Paid fee</t>
  </si>
  <si>
    <t>Unrealized Profit</t>
  </si>
  <si>
    <t>Net Gain</t>
  </si>
  <si>
    <t>3/1/2022</t>
  </si>
  <si>
    <t>01/13/2022</t>
  </si>
  <si>
    <t>Tencent Holdings Limited (XHKG:700)</t>
  </si>
  <si>
    <t>13/1/2022</t>
  </si>
  <si>
    <t>盲目买入，愚蠢和贪婪，死性不改，活该</t>
  </si>
  <si>
    <t>ACCOUNT BALANCE</t>
  </si>
  <si>
    <t>Regular Trade</t>
  </si>
  <si>
    <t>Day Trade</t>
  </si>
  <si>
    <t>Sub-total</t>
  </si>
  <si>
    <t>Entire Portfolio</t>
  </si>
  <si>
    <t>Hang Seng</t>
  </si>
  <si>
    <t>Cash%</t>
  </si>
  <si>
    <t>01/19/2022</t>
  </si>
  <si>
    <t>19/1/2022</t>
  </si>
  <si>
    <t>01/18/2022</t>
  </si>
  <si>
    <t>18/1/2022</t>
  </si>
  <si>
    <t>入场激进，基本ok</t>
  </si>
  <si>
    <t>01/20/2022</t>
  </si>
  <si>
    <t>20/1/2022</t>
  </si>
  <si>
    <t>入场仓位重，止损不坚定，愚蠢加贪婪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</si>
</sst>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64" formatCode="_ [$¥-804]* #,##0_ ;_ [$¥-804]* \-#,##0_ ;_ [$¥-804]* &quot;-&quot;_ ;_ @_ "/>
    <numFmt numFmtId="165" formatCode="_([$$-409]* #,##0.00_);_([$$-409]* \(#,##0.00\);_([$$-409]* &quot;-&quot;??_);_(@_)"/>
    <numFmt numFmtId="166" formatCode="_-* #,##0_-;\-* #,##0_-;_-* &quot;-&quot;_-;_-@_-"/>
    <numFmt numFmtId="167" formatCode="_-* #,##0.00_-;\-* #,##0.00_-;_-* &quot;-&quot;??_-;_-@_-"/>
    <numFmt numFmtId="168" formatCode="_(* #,##0.00_);_(* \(#,##0.00\);_(* &quot;-&quot;??_);_(@_)"/>
    <numFmt numFmtId="169" formatCode="#,##0.00_ ;[Red]\-#,##0.00\ "/>
    <numFmt numFmtId="170" formatCode="0.0%"/>
    <numFmt numFmtId="171" formatCode="_-* #,##0.00_-;\-* #,##0.00_-;_-* &quot;-&quot;_-;_-@_-"/>
    <numFmt numFmtId="172" formatCode="#,##0_ ;[Red]\-#,##0\ "/>
    <numFmt numFmtId="173" formatCode="_-* #,##0_-;\-* #,##0_-;_-* &quot;-&quot;??_-;_-@_-"/>
    <numFmt numFmtId="174" formatCode="_(* #,##0_);_(* \(#,##0\);_(* &quot;-&quot;??_);_(@_)"/>
    <numFmt numFmtId="175" formatCode="_ * #,##0_ ;_ * \-#,##0_ ;_ * &quot;-&quot;??_ ;_ @_ "/>
    <numFmt numFmtId="176" formatCode="0.00_ ;[Red]\-0.00\ "/>
    <numFmt numFmtId="177" formatCode="0.0000%"/>
    <numFmt numFmtId="178" formatCode="0.0_ ;\-0.0\ "/>
    <numFmt numFmtId="179" formatCode="dd/mm/yyyy"/>
    <numFmt numFmtId="180" formatCode="m/d/yyyy"/>
    <numFmt numFmtId="181" formatCode="0_ ;\-0\ "/>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8"/>
      <name val="Calibri"/>
      <family val="2"/>
      <scheme val="minor"/>
    </font>
    <font>
      <sz val="10"/>
      <color theme="1"/>
      <name val="Calibri"/>
      <family val="2"/>
      <scheme val="minor"/>
    </font>
    <font>
      <sz val="10"/>
      <color theme="4" tint="-0.499984740745262"/>
      <name val="Calibri"/>
      <family val="2"/>
      <scheme val="minor"/>
    </font>
    <font>
      <i/>
      <sz val="10"/>
      <color theme="1"/>
      <name val="Calibri"/>
      <family val="2"/>
      <scheme val="minor"/>
    </font>
    <font>
      <sz val="11"/>
      <color rgb="FF00B050"/>
      <name val="Calibri"/>
      <family val="2"/>
      <scheme val="minor"/>
    </font>
    <font>
      <sz val="11"/>
      <color rgb="FFC00000"/>
      <name val="Calibri"/>
      <family val="2"/>
      <scheme val="minor"/>
    </font>
    <font>
      <sz val="11"/>
      <color theme="4"/>
      <name val="Calibri"/>
      <family val="2"/>
      <scheme val="minor"/>
    </font>
    <font>
      <b/>
      <sz val="12"/>
      <color theme="1"/>
      <name val="Calibri"/>
      <family val="2"/>
      <scheme val="minor"/>
    </font>
    <font>
      <b/>
      <sz val="11"/>
      <name val="Calibri"/>
      <family val="2"/>
      <scheme val="minor"/>
    </font>
    <font>
      <b/>
      <sz val="11"/>
      <color theme="0"/>
      <name val="Calibri"/>
      <family val="2"/>
      <scheme val="minor"/>
    </font>
    <font>
      <sz val="9"/>
      <color theme="1"/>
      <name val="Calibri"/>
      <family val="2"/>
      <scheme val="minor"/>
    </font>
    <font>
      <b/>
      <sz val="10"/>
      <color theme="1"/>
      <name val="Calibri"/>
      <family val="2"/>
      <scheme val="minor"/>
    </font>
    <font>
      <i/>
      <sz val="8"/>
      <color theme="1"/>
      <name val="Calibri"/>
      <family val="2"/>
      <scheme val="minor"/>
    </font>
    <font>
      <b/>
      <sz val="11"/>
      <color rgb="FFFF0000"/>
      <name val="Calibri"/>
      <family val="2"/>
      <scheme val="minor"/>
    </font>
    <font>
      <b/>
      <sz val="20"/>
      <color rgb="FFFF0000"/>
      <name val="Calibri"/>
      <family val="2"/>
      <scheme val="minor"/>
    </font>
    <font>
      <b/>
      <sz val="16"/>
      <color rgb="FFFF0000"/>
      <name val="Calibri"/>
      <family val="2"/>
      <scheme val="minor"/>
    </font>
    <font>
      <b/>
      <sz val="11"/>
      <color rgb="FF00B050"/>
      <name val="Calibri"/>
      <family val="2"/>
      <scheme val="minor"/>
    </font>
  </fonts>
  <fills count="1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7"/>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B050"/>
        <bgColor indexed="64"/>
      </patternFill>
    </fill>
    <fill>
      <patternFill patternType="solid">
        <fgColor theme="8"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auto="1"/>
      </diagonal>
    </border>
  </borders>
  <cellStyleXfs count="4">
    <xf numFmtId="0" fontId="0" fillId="0" borderId="0"/>
    <xf numFmtId="166"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cellStyleXfs>
  <cellXfs count="583">
    <xf numFmtId="0" fontId="0" fillId="0" borderId="0" xfId="0"/>
    <xf numFmtId="166" fontId="0" fillId="0" borderId="0" xfId="0" applyNumberFormat="1"/>
    <xf numFmtId="167" fontId="0" fillId="0" borderId="0" xfId="0" applyNumberFormat="1"/>
    <xf numFmtId="166" fontId="0" fillId="0" borderId="0" xfId="1" applyNumberFormat="1" applyFont="1"/>
    <xf numFmtId="166" fontId="0" fillId="0" borderId="0" xfId="1" applyNumberFormat="1" applyFont="1" applyBorder="1"/>
    <xf numFmtId="0" fontId="2" fillId="0" borderId="1" xfId="0" applyFont="1" applyFill="1" applyBorder="1" applyAlignment="1">
      <alignment horizontal="center"/>
    </xf>
    <xf numFmtId="9" fontId="0" fillId="0" borderId="0" xfId="0" applyNumberFormat="1"/>
    <xf numFmtId="0" fontId="2" fillId="0" borderId="1" xfId="0" applyFont="1" applyBorder="1" applyAlignment="1">
      <alignment horizontal="center" vertical="center"/>
    </xf>
    <xf numFmtId="9" fontId="0" fillId="0" borderId="0" xfId="2" applyFont="1"/>
    <xf numFmtId="10" fontId="4" fillId="2" borderId="0" xfId="2" applyNumberFormat="1" applyFont="1" applyFill="1"/>
    <xf numFmtId="166" fontId="0" fillId="0" borderId="0" xfId="1" applyFont="1"/>
    <xf numFmtId="0" fontId="0" fillId="0" borderId="0" xfId="0" applyFill="1"/>
    <xf numFmtId="0" fontId="0" fillId="0" borderId="1" xfId="0" applyFill="1" applyBorder="1"/>
    <xf numFmtId="9" fontId="0" fillId="0" borderId="1" xfId="2" applyFont="1" applyFill="1" applyBorder="1"/>
    <xf numFmtId="14" fontId="0" fillId="0" borderId="1" xfId="0" applyNumberFormat="1" applyFill="1" applyBorder="1"/>
    <xf numFmtId="170" fontId="0" fillId="0" borderId="0" xfId="2" applyNumberFormat="1" applyFont="1"/>
    <xf numFmtId="170" fontId="3" fillId="0" borderId="0" xfId="2" applyNumberFormat="1" applyFont="1"/>
    <xf numFmtId="0" fontId="2" fillId="0" borderId="1" xfId="0" applyFont="1" applyBorder="1" applyAlignment="1">
      <alignment horizontal="left"/>
    </xf>
    <xf numFmtId="0" fontId="0" fillId="3" borderId="1" xfId="0" applyFill="1" applyBorder="1"/>
    <xf numFmtId="9" fontId="0" fillId="3" borderId="1" xfId="2" applyFont="1" applyFill="1" applyBorder="1"/>
    <xf numFmtId="0" fontId="0" fillId="3" borderId="0" xfId="0" applyFill="1"/>
    <xf numFmtId="167" fontId="0" fillId="0" borderId="0" xfId="0" applyNumberFormat="1" applyBorder="1"/>
    <xf numFmtId="0" fontId="0" fillId="0" borderId="0" xfId="0" applyBorder="1"/>
    <xf numFmtId="9" fontId="0" fillId="0" borderId="0" xfId="2" applyFont="1" applyFill="1" applyBorder="1"/>
    <xf numFmtId="0" fontId="0" fillId="0" borderId="2" xfId="0" applyBorder="1"/>
    <xf numFmtId="10" fontId="0" fillId="3" borderId="3" xfId="2" applyNumberFormat="1" applyFont="1" applyFill="1" applyBorder="1"/>
    <xf numFmtId="10" fontId="0" fillId="0" borderId="4" xfId="2" applyNumberFormat="1" applyFont="1" applyBorder="1"/>
    <xf numFmtId="0" fontId="0" fillId="0" borderId="5" xfId="0" applyBorder="1"/>
    <xf numFmtId="10" fontId="0" fillId="3" borderId="6" xfId="2" applyNumberFormat="1" applyFont="1" applyFill="1" applyBorder="1"/>
    <xf numFmtId="0" fontId="0" fillId="0" borderId="3" xfId="0" applyBorder="1"/>
    <xf numFmtId="0" fontId="0" fillId="0" borderId="4" xfId="0" applyBorder="1"/>
    <xf numFmtId="0" fontId="0" fillId="0" borderId="6" xfId="0" applyBorder="1"/>
    <xf numFmtId="0" fontId="0" fillId="0" borderId="10" xfId="0" applyBorder="1"/>
    <xf numFmtId="9" fontId="3" fillId="3" borderId="10" xfId="2" applyFont="1" applyFill="1" applyBorder="1"/>
    <xf numFmtId="0" fontId="0" fillId="0" borderId="11" xfId="0" applyBorder="1"/>
    <xf numFmtId="0" fontId="2" fillId="0" borderId="1" xfId="0" applyFont="1" applyBorder="1" applyAlignment="1">
      <alignment horizontal="center"/>
    </xf>
    <xf numFmtId="0" fontId="2" fillId="0" borderId="0" xfId="0" applyFont="1" applyBorder="1" applyAlignment="1">
      <alignment horizontal="center" vertical="center"/>
    </xf>
    <xf numFmtId="9" fontId="0" fillId="0" borderId="0" xfId="0" applyNumberFormat="1" applyBorder="1"/>
    <xf numFmtId="10" fontId="0" fillId="0" borderId="0" xfId="0" applyNumberFormat="1" applyBorder="1"/>
    <xf numFmtId="0" fontId="0" fillId="0" borderId="0" xfId="0" applyAlignment="1">
      <alignment vertical="center"/>
    </xf>
    <xf numFmtId="166" fontId="0" fillId="0" borderId="0" xfId="1" applyNumberFormat="1" applyFont="1" applyAlignment="1">
      <alignment vertical="center"/>
    </xf>
    <xf numFmtId="10" fontId="4" fillId="0" borderId="0" xfId="2" applyNumberFormat="1" applyFont="1" applyFill="1" applyAlignment="1">
      <alignment vertical="center"/>
    </xf>
    <xf numFmtId="172" fontId="0" fillId="0" borderId="0" xfId="0" applyNumberFormat="1" applyFill="1" applyAlignment="1">
      <alignment vertical="center"/>
    </xf>
    <xf numFmtId="0" fontId="0" fillId="0" borderId="0" xfId="0" applyFill="1" applyAlignment="1">
      <alignment vertical="center"/>
    </xf>
    <xf numFmtId="9" fontId="0" fillId="0" borderId="0" xfId="0" applyNumberFormat="1" applyFill="1" applyAlignment="1">
      <alignment vertical="center"/>
    </xf>
    <xf numFmtId="166" fontId="0" fillId="0" borderId="0" xfId="0" applyNumberFormat="1" applyFill="1" applyAlignment="1">
      <alignment vertical="center"/>
    </xf>
    <xf numFmtId="0" fontId="0" fillId="0" borderId="1" xfId="0" applyBorder="1" applyAlignment="1">
      <alignment vertical="center"/>
    </xf>
    <xf numFmtId="17" fontId="2" fillId="0" borderId="1" xfId="0" applyNumberFormat="1" applyFont="1" applyBorder="1" applyAlignment="1">
      <alignment vertical="center"/>
    </xf>
    <xf numFmtId="172" fontId="0" fillId="0" borderId="1" xfId="0" applyNumberFormat="1" applyBorder="1" applyAlignment="1">
      <alignment vertical="center"/>
    </xf>
    <xf numFmtId="172" fontId="0" fillId="0" borderId="0" xfId="0" applyNumberFormat="1" applyAlignment="1">
      <alignment vertical="center"/>
    </xf>
    <xf numFmtId="9" fontId="0" fillId="0" borderId="1" xfId="2" applyFont="1" applyBorder="1" applyAlignment="1">
      <alignment vertical="center"/>
    </xf>
    <xf numFmtId="0" fontId="0" fillId="0" borderId="9" xfId="0" applyBorder="1" applyAlignment="1">
      <alignment vertical="center"/>
    </xf>
    <xf numFmtId="170" fontId="0" fillId="0" borderId="6" xfId="2" applyNumberFormat="1" applyFont="1" applyBorder="1" applyAlignment="1">
      <alignment vertical="center"/>
    </xf>
    <xf numFmtId="167" fontId="0" fillId="0" borderId="0" xfId="0" applyNumberFormat="1" applyAlignment="1">
      <alignment vertical="center"/>
    </xf>
    <xf numFmtId="0" fontId="0" fillId="0" borderId="0" xfId="0" applyBorder="1" applyAlignment="1">
      <alignment vertical="center"/>
    </xf>
    <xf numFmtId="166" fontId="0" fillId="0" borderId="0" xfId="0" applyNumberFormat="1" applyBorder="1" applyAlignment="1">
      <alignment vertical="center"/>
    </xf>
    <xf numFmtId="170" fontId="0" fillId="0" borderId="0" xfId="2" applyNumberFormat="1" applyFont="1" applyBorder="1" applyAlignment="1">
      <alignment vertical="center"/>
    </xf>
    <xf numFmtId="0" fontId="0" fillId="0" borderId="12" xfId="0" applyBorder="1" applyAlignment="1">
      <alignment vertical="center"/>
    </xf>
    <xf numFmtId="170" fontId="0" fillId="0" borderId="3" xfId="0" applyNumberFormat="1" applyBorder="1" applyAlignment="1">
      <alignment vertical="center"/>
    </xf>
    <xf numFmtId="0" fontId="0" fillId="0" borderId="13" xfId="0" applyBorder="1" applyAlignment="1">
      <alignment vertical="center"/>
    </xf>
    <xf numFmtId="170" fontId="0" fillId="0" borderId="4" xfId="0" applyNumberFormat="1" applyBorder="1" applyAlignment="1">
      <alignment vertical="center"/>
    </xf>
    <xf numFmtId="0" fontId="0" fillId="0" borderId="14" xfId="0" applyBorder="1" applyAlignment="1">
      <alignment vertical="center"/>
    </xf>
    <xf numFmtId="170" fontId="0" fillId="0" borderId="6" xfId="0" applyNumberFormat="1" applyBorder="1" applyAlignment="1">
      <alignment vertical="center"/>
    </xf>
    <xf numFmtId="10" fontId="0" fillId="0" borderId="1" xfId="2" applyNumberFormat="1" applyFont="1" applyBorder="1" applyAlignment="1">
      <alignment vertical="center"/>
    </xf>
    <xf numFmtId="172" fontId="0" fillId="0" borderId="1" xfId="1" applyNumberFormat="1" applyFont="1" applyBorder="1" applyAlignment="1">
      <alignment vertical="center"/>
    </xf>
    <xf numFmtId="0" fontId="0" fillId="2" borderId="1" xfId="0" applyFill="1" applyBorder="1" applyAlignment="1">
      <alignment vertical="center"/>
    </xf>
    <xf numFmtId="171" fontId="0" fillId="2" borderId="1" xfId="1" applyNumberFormat="1" applyFont="1" applyFill="1" applyBorder="1" applyAlignment="1">
      <alignment vertical="center"/>
    </xf>
    <xf numFmtId="169" fontId="0" fillId="2" borderId="1" xfId="1" applyNumberFormat="1" applyFont="1" applyFill="1" applyBorder="1" applyAlignment="1">
      <alignment vertical="center"/>
    </xf>
    <xf numFmtId="9" fontId="0" fillId="2" borderId="1" xfId="2" applyFont="1" applyFill="1" applyBorder="1" applyAlignment="1">
      <alignment vertical="center"/>
    </xf>
    <xf numFmtId="0" fontId="0" fillId="4" borderId="1" xfId="0" applyFill="1" applyBorder="1" applyAlignment="1">
      <alignment vertical="center"/>
    </xf>
    <xf numFmtId="169" fontId="0" fillId="4" borderId="1" xfId="1" applyNumberFormat="1" applyFont="1" applyFill="1" applyBorder="1" applyAlignment="1">
      <alignment vertical="center"/>
    </xf>
    <xf numFmtId="9" fontId="0" fillId="4" borderId="1" xfId="2" applyFont="1" applyFill="1" applyBorder="1" applyAlignment="1">
      <alignment vertical="center"/>
    </xf>
    <xf numFmtId="170" fontId="0" fillId="2" borderId="1" xfId="2" applyNumberFormat="1" applyFont="1" applyFill="1" applyBorder="1" applyAlignment="1">
      <alignment vertical="center"/>
    </xf>
    <xf numFmtId="170" fontId="0" fillId="0" borderId="0" xfId="2" applyNumberFormat="1" applyFont="1" applyAlignment="1">
      <alignment vertical="center"/>
    </xf>
    <xf numFmtId="170" fontId="3" fillId="0" borderId="0" xfId="2" applyNumberFormat="1" applyFont="1" applyAlignment="1">
      <alignment vertical="center"/>
    </xf>
    <xf numFmtId="170" fontId="3" fillId="0" borderId="0" xfId="2" applyNumberFormat="1" applyFont="1" applyAlignment="1">
      <alignment horizontal="right" vertical="center"/>
    </xf>
    <xf numFmtId="169" fontId="0" fillId="0" borderId="1" xfId="1" applyNumberFormat="1" applyFont="1" applyFill="1" applyBorder="1" applyAlignment="1">
      <alignment vertical="center"/>
    </xf>
    <xf numFmtId="9" fontId="0" fillId="0" borderId="1" xfId="2" applyFont="1" applyFill="1" applyBorder="1" applyAlignment="1">
      <alignment vertical="center"/>
    </xf>
    <xf numFmtId="0" fontId="0" fillId="0" borderId="1" xfId="0" applyFill="1" applyBorder="1" applyAlignment="1">
      <alignment vertical="center"/>
    </xf>
    <xf numFmtId="169" fontId="0" fillId="3" borderId="1" xfId="1" applyNumberFormat="1" applyFont="1" applyFill="1" applyBorder="1" applyAlignment="1">
      <alignment vertical="center"/>
    </xf>
    <xf numFmtId="170" fontId="0" fillId="0" borderId="1" xfId="2" applyNumberFormat="1" applyFont="1" applyFill="1" applyBorder="1" applyAlignment="1">
      <alignment vertical="center"/>
    </xf>
    <xf numFmtId="171" fontId="0" fillId="0" borderId="1" xfId="1" applyNumberFormat="1" applyFont="1" applyFill="1" applyBorder="1" applyAlignment="1">
      <alignment vertical="center"/>
    </xf>
    <xf numFmtId="171" fontId="0" fillId="3" borderId="1" xfId="1" applyNumberFormat="1" applyFont="1" applyFill="1" applyBorder="1" applyAlignment="1">
      <alignment vertical="center"/>
    </xf>
    <xf numFmtId="171" fontId="0" fillId="0" borderId="0" xfId="1" applyNumberFormat="1" applyFont="1" applyAlignment="1">
      <alignment vertical="center"/>
    </xf>
    <xf numFmtId="166" fontId="0" fillId="0" borderId="0" xfId="0" applyNumberFormat="1" applyAlignment="1">
      <alignment vertical="center"/>
    </xf>
    <xf numFmtId="9" fontId="0" fillId="0" borderId="1" xfId="0" applyNumberFormat="1" applyBorder="1" applyAlignment="1">
      <alignment vertical="center"/>
    </xf>
    <xf numFmtId="10" fontId="0" fillId="0" borderId="1" xfId="0" applyNumberFormat="1" applyBorder="1" applyAlignment="1">
      <alignment vertical="center"/>
    </xf>
    <xf numFmtId="0" fontId="0" fillId="3" borderId="1" xfId="0" applyFill="1" applyBorder="1" applyAlignment="1">
      <alignment vertical="center"/>
    </xf>
    <xf numFmtId="9" fontId="0" fillId="3" borderId="1" xfId="2" applyFont="1" applyFill="1" applyBorder="1" applyAlignment="1">
      <alignment vertical="center"/>
    </xf>
    <xf numFmtId="0" fontId="0" fillId="3" borderId="0" xfId="0" applyFill="1" applyAlignment="1">
      <alignment vertical="center"/>
    </xf>
    <xf numFmtId="167" fontId="0" fillId="0" borderId="1" xfId="0" applyNumberFormat="1" applyBorder="1" applyAlignment="1">
      <alignment vertical="center"/>
    </xf>
    <xf numFmtId="0" fontId="0" fillId="0" borderId="0" xfId="0" applyFill="1" applyBorder="1" applyAlignment="1">
      <alignment vertical="center"/>
    </xf>
    <xf numFmtId="167" fontId="0" fillId="0" borderId="0" xfId="0" applyNumberFormat="1" applyBorder="1" applyAlignment="1">
      <alignment vertical="center"/>
    </xf>
    <xf numFmtId="171" fontId="0" fillId="0" borderId="0" xfId="1" applyNumberFormat="1" applyFont="1" applyFill="1" applyBorder="1" applyAlignment="1">
      <alignment vertical="center"/>
    </xf>
    <xf numFmtId="169" fontId="0" fillId="0" borderId="0" xfId="1" applyNumberFormat="1" applyFont="1" applyFill="1" applyBorder="1" applyAlignment="1">
      <alignment vertical="center"/>
    </xf>
    <xf numFmtId="9" fontId="0" fillId="0" borderId="0" xfId="2" applyFont="1" applyFill="1" applyBorder="1" applyAlignment="1">
      <alignment vertical="center"/>
    </xf>
    <xf numFmtId="0" fontId="0" fillId="0" borderId="15" xfId="0" applyBorder="1" applyAlignment="1">
      <alignment vertical="center"/>
    </xf>
    <xf numFmtId="10" fontId="0" fillId="0" borderId="4" xfId="2" applyNumberFormat="1" applyFont="1" applyBorder="1" applyAlignment="1">
      <alignment vertical="center"/>
    </xf>
    <xf numFmtId="0" fontId="0" fillId="0" borderId="11" xfId="0" applyBorder="1" applyAlignment="1">
      <alignment vertical="center"/>
    </xf>
    <xf numFmtId="170" fontId="0" fillId="0" borderId="1" xfId="0" applyNumberFormat="1" applyBorder="1" applyAlignment="1">
      <alignment vertical="center"/>
    </xf>
    <xf numFmtId="166" fontId="0" fillId="0" borderId="0" xfId="1" applyFont="1" applyAlignment="1">
      <alignment vertical="center"/>
    </xf>
    <xf numFmtId="10" fontId="0" fillId="0" borderId="0" xfId="2" applyNumberFormat="1" applyFont="1" applyAlignment="1">
      <alignment vertical="center"/>
    </xf>
    <xf numFmtId="170" fontId="3" fillId="0" borderId="1" xfId="2" applyNumberFormat="1" applyFont="1" applyBorder="1" applyAlignment="1">
      <alignment vertical="center"/>
    </xf>
    <xf numFmtId="0" fontId="8" fillId="0" borderId="1" xfId="0" applyFont="1" applyBorder="1" applyAlignment="1">
      <alignment horizontal="right" vertical="center"/>
    </xf>
    <xf numFmtId="10" fontId="3" fillId="0" borderId="1" xfId="2" applyNumberFormat="1" applyFont="1" applyBorder="1" applyAlignment="1">
      <alignment vertical="center"/>
    </xf>
    <xf numFmtId="172" fontId="0" fillId="2" borderId="0" xfId="0" applyNumberFormat="1" applyFill="1"/>
    <xf numFmtId="166" fontId="0" fillId="0" borderId="1" xfId="1" applyFont="1" applyFill="1" applyBorder="1"/>
    <xf numFmtId="166" fontId="3" fillId="0" borderId="0" xfId="1" applyFont="1"/>
    <xf numFmtId="166" fontId="0" fillId="2" borderId="0" xfId="1" applyFont="1" applyFill="1"/>
    <xf numFmtId="166" fontId="0" fillId="3" borderId="1" xfId="1" applyFont="1" applyFill="1" applyBorder="1"/>
    <xf numFmtId="166" fontId="0" fillId="0" borderId="1" xfId="1" applyFont="1" applyBorder="1"/>
    <xf numFmtId="166" fontId="0" fillId="3" borderId="7" xfId="1" applyFont="1" applyFill="1" applyBorder="1"/>
    <xf numFmtId="166" fontId="0" fillId="0" borderId="8" xfId="1" applyFont="1" applyBorder="1"/>
    <xf numFmtId="166" fontId="0" fillId="3" borderId="9" xfId="1" applyFont="1" applyFill="1" applyBorder="1"/>
    <xf numFmtId="166" fontId="3" fillId="3" borderId="1" xfId="1" applyFont="1" applyFill="1" applyBorder="1"/>
    <xf numFmtId="0" fontId="0" fillId="2" borderId="1" xfId="0" applyFill="1" applyBorder="1" applyAlignment="1">
      <alignment horizontal="center" vertical="center"/>
    </xf>
    <xf numFmtId="0" fontId="0" fillId="4" borderId="1" xfId="0" applyFill="1" applyBorder="1" applyAlignment="1">
      <alignment horizontal="center" vertical="center"/>
    </xf>
    <xf numFmtId="170" fontId="0" fillId="4" borderId="1" xfId="2" applyNumberFormat="1" applyFont="1" applyFill="1" applyBorder="1" applyAlignment="1">
      <alignment vertical="center"/>
    </xf>
    <xf numFmtId="0" fontId="0" fillId="0" borderId="1" xfId="0" applyFill="1" applyBorder="1" applyAlignment="1">
      <alignment horizontal="center" vertical="center"/>
    </xf>
    <xf numFmtId="0" fontId="2" fillId="0" borderId="1" xfId="0" applyFont="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vertical="center"/>
    </xf>
    <xf numFmtId="171" fontId="0" fillId="5" borderId="1" xfId="1" applyNumberFormat="1" applyFont="1" applyFill="1" applyBorder="1" applyAlignment="1">
      <alignment vertical="center"/>
    </xf>
    <xf numFmtId="171" fontId="4" fillId="5" borderId="1" xfId="1" applyNumberFormat="1" applyFont="1" applyFill="1" applyBorder="1" applyAlignment="1">
      <alignment vertical="center"/>
    </xf>
    <xf numFmtId="169" fontId="0" fillId="5" borderId="1" xfId="1" applyNumberFormat="1" applyFont="1" applyFill="1" applyBorder="1" applyAlignment="1">
      <alignment vertical="center"/>
    </xf>
    <xf numFmtId="9" fontId="0" fillId="5" borderId="1" xfId="2" applyFont="1" applyFill="1" applyBorder="1" applyAlignment="1">
      <alignment vertical="center"/>
    </xf>
    <xf numFmtId="170" fontId="0" fillId="5" borderId="1" xfId="2" applyNumberFormat="1" applyFont="1" applyFill="1" applyBorder="1" applyAlignment="1">
      <alignment vertical="center"/>
    </xf>
    <xf numFmtId="0" fontId="2" fillId="0" borderId="1" xfId="0" applyFont="1" applyBorder="1" applyAlignment="1">
      <alignment vertical="center"/>
    </xf>
    <xf numFmtId="0" fontId="0" fillId="6" borderId="1" xfId="0" applyFill="1" applyBorder="1" applyAlignment="1">
      <alignment vertical="center"/>
    </xf>
    <xf numFmtId="9" fontId="0" fillId="6" borderId="1" xfId="2" applyFont="1" applyFill="1" applyBorder="1" applyAlignment="1">
      <alignment vertical="center"/>
    </xf>
    <xf numFmtId="168" fontId="0" fillId="0" borderId="0" xfId="0" applyNumberFormat="1" applyAlignment="1">
      <alignment vertical="center"/>
    </xf>
    <xf numFmtId="170" fontId="0" fillId="0" borderId="0" xfId="0" applyNumberFormat="1" applyAlignment="1">
      <alignment vertical="center"/>
    </xf>
    <xf numFmtId="0" fontId="10" fillId="0" borderId="0" xfId="0" applyFont="1" applyAlignment="1">
      <alignment vertical="center"/>
    </xf>
    <xf numFmtId="173" fontId="0" fillId="0" borderId="9" xfId="0" applyNumberFormat="1" applyBorder="1" applyAlignment="1">
      <alignment vertical="center"/>
    </xf>
    <xf numFmtId="0" fontId="3" fillId="0" borderId="0" xfId="0" applyFont="1" applyBorder="1" applyAlignment="1">
      <alignment vertical="center"/>
    </xf>
    <xf numFmtId="170" fontId="0" fillId="0" borderId="0" xfId="0" applyNumberFormat="1" applyBorder="1" applyAlignment="1">
      <alignment vertical="center"/>
    </xf>
    <xf numFmtId="170" fontId="11" fillId="0" borderId="1" xfId="2" applyNumberFormat="1" applyFont="1" applyFill="1" applyBorder="1" applyAlignment="1">
      <alignment vertical="center"/>
    </xf>
    <xf numFmtId="173" fontId="0" fillId="0" borderId="1" xfId="0" applyNumberFormat="1" applyBorder="1" applyAlignment="1">
      <alignment vertical="center"/>
    </xf>
    <xf numFmtId="173" fontId="0" fillId="0" borderId="1" xfId="1" applyNumberFormat="1" applyFont="1" applyBorder="1" applyAlignment="1">
      <alignment vertical="center"/>
    </xf>
    <xf numFmtId="170" fontId="7" fillId="0" borderId="15" xfId="2" applyNumberFormat="1" applyFont="1" applyBorder="1" applyAlignment="1">
      <alignment vertical="center"/>
    </xf>
    <xf numFmtId="10" fontId="3" fillId="0" borderId="0" xfId="2" applyNumberFormat="1" applyFont="1" applyBorder="1" applyAlignment="1">
      <alignment vertical="center"/>
    </xf>
    <xf numFmtId="171" fontId="0" fillId="0" borderId="1" xfId="1" applyNumberFormat="1" applyFont="1" applyBorder="1" applyAlignment="1">
      <alignment vertical="center"/>
    </xf>
    <xf numFmtId="0" fontId="0" fillId="0" borderId="10" xfId="0" applyFill="1" applyBorder="1" applyAlignment="1">
      <alignment vertical="center"/>
    </xf>
    <xf numFmtId="10" fontId="0" fillId="0" borderId="8" xfId="2" applyNumberFormat="1" applyFont="1" applyBorder="1" applyAlignment="1">
      <alignment vertical="center"/>
    </xf>
    <xf numFmtId="10" fontId="0" fillId="0" borderId="9" xfId="2" applyNumberFormat="1" applyFont="1" applyBorder="1" applyAlignment="1">
      <alignment vertical="center"/>
    </xf>
    <xf numFmtId="0" fontId="0" fillId="0" borderId="6" xfId="0" applyBorder="1" applyAlignment="1">
      <alignment vertical="center"/>
    </xf>
    <xf numFmtId="10" fontId="0" fillId="3" borderId="6" xfId="2" applyNumberFormat="1" applyFont="1" applyFill="1" applyBorder="1" applyAlignment="1">
      <alignment vertical="center"/>
    </xf>
    <xf numFmtId="10" fontId="0" fillId="0" borderId="11" xfId="2" applyNumberFormat="1" applyFont="1" applyBorder="1" applyAlignment="1">
      <alignment vertical="center"/>
    </xf>
    <xf numFmtId="10" fontId="0" fillId="0" borderId="10" xfId="2" applyNumberFormat="1" applyFont="1" applyBorder="1" applyAlignment="1">
      <alignment vertical="center"/>
    </xf>
    <xf numFmtId="0" fontId="0" fillId="0" borderId="0" xfId="0" applyBorder="1" applyAlignment="1">
      <alignment horizontal="left" vertical="center"/>
    </xf>
    <xf numFmtId="0" fontId="0" fillId="0" borderId="8" xfId="0" applyBorder="1" applyAlignment="1">
      <alignment vertical="center"/>
    </xf>
    <xf numFmtId="0" fontId="0" fillId="0" borderId="7" xfId="0" applyBorder="1"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0" fontId="12" fillId="0" borderId="7" xfId="0" applyFont="1" applyBorder="1" applyAlignment="1">
      <alignment vertical="center"/>
    </xf>
    <xf numFmtId="0" fontId="12" fillId="0" borderId="7" xfId="0" applyFont="1" applyBorder="1" applyAlignment="1">
      <alignment horizontal="center" vertical="center"/>
    </xf>
    <xf numFmtId="171" fontId="0" fillId="0" borderId="9" xfId="1" applyNumberFormat="1" applyFont="1" applyBorder="1" applyAlignment="1">
      <alignment vertical="center"/>
    </xf>
    <xf numFmtId="0" fontId="12" fillId="0" borderId="11" xfId="0" applyFont="1" applyBorder="1" applyAlignment="1">
      <alignment vertical="center"/>
    </xf>
    <xf numFmtId="0" fontId="12" fillId="0" borderId="11" xfId="0" applyFont="1" applyBorder="1" applyAlignment="1">
      <alignment horizontal="center" vertical="center"/>
    </xf>
    <xf numFmtId="0" fontId="0" fillId="0" borderId="9" xfId="0" applyBorder="1" applyAlignment="1">
      <alignment horizontal="center" vertical="center"/>
    </xf>
    <xf numFmtId="0" fontId="0" fillId="0" borderId="15" xfId="0" applyBorder="1" applyAlignment="1">
      <alignment horizontal="center" vertical="center"/>
    </xf>
    <xf numFmtId="0" fontId="0" fillId="0" borderId="7" xfId="0" applyFill="1" applyBorder="1" applyAlignment="1">
      <alignment vertical="center"/>
    </xf>
    <xf numFmtId="0" fontId="2" fillId="0" borderId="0" xfId="0" applyFont="1" applyAlignment="1">
      <alignment vertical="center"/>
    </xf>
    <xf numFmtId="166" fontId="12" fillId="0" borderId="10" xfId="1" applyFont="1" applyBorder="1" applyAlignment="1">
      <alignment horizontal="center" vertical="center"/>
    </xf>
    <xf numFmtId="166" fontId="12" fillId="0" borderId="1" xfId="1" applyFont="1" applyBorder="1" applyAlignment="1">
      <alignment horizontal="center" vertical="center"/>
    </xf>
    <xf numFmtId="0" fontId="0" fillId="0" borderId="7" xfId="0" applyBorder="1" applyAlignment="1">
      <alignment horizontal="center" vertical="center"/>
    </xf>
    <xf numFmtId="171" fontId="0" fillId="0" borderId="7" xfId="1" applyNumberFormat="1" applyFont="1" applyBorder="1" applyAlignment="1">
      <alignment vertical="center"/>
    </xf>
    <xf numFmtId="166" fontId="0" fillId="0" borderId="9" xfId="1" applyFont="1" applyBorder="1" applyAlignment="1">
      <alignment horizontal="center" vertical="center"/>
    </xf>
    <xf numFmtId="166" fontId="0" fillId="0" borderId="0" xfId="1" applyFont="1" applyAlignment="1">
      <alignment horizontal="center" vertical="center"/>
    </xf>
    <xf numFmtId="0" fontId="0" fillId="0" borderId="0" xfId="0" applyFill="1" applyBorder="1" applyAlignment="1">
      <alignment horizontal="center" vertical="center"/>
    </xf>
    <xf numFmtId="170" fontId="0" fillId="0" borderId="0" xfId="2" applyNumberFormat="1" applyFont="1" applyFill="1" applyBorder="1" applyAlignment="1">
      <alignment vertical="center"/>
    </xf>
    <xf numFmtId="170" fontId="11" fillId="0" borderId="0" xfId="2" applyNumberFormat="1" applyFont="1" applyFill="1" applyBorder="1" applyAlignment="1">
      <alignment vertical="center"/>
    </xf>
    <xf numFmtId="14" fontId="0" fillId="0" borderId="0" xfId="0" applyNumberFormat="1" applyFill="1" applyBorder="1" applyAlignment="1">
      <alignment vertical="center"/>
    </xf>
    <xf numFmtId="171" fontId="0" fillId="4" borderId="1" xfId="1" applyNumberFormat="1" applyFont="1" applyFill="1" applyBorder="1" applyAlignment="1">
      <alignment vertical="center"/>
    </xf>
    <xf numFmtId="171" fontId="4" fillId="2" borderId="1" xfId="1" applyNumberFormat="1" applyFont="1" applyFill="1" applyBorder="1" applyAlignment="1">
      <alignment vertical="center"/>
    </xf>
    <xf numFmtId="171" fontId="11" fillId="0" borderId="1" xfId="1" applyNumberFormat="1" applyFont="1" applyFill="1" applyBorder="1" applyAlignment="1">
      <alignment vertical="center"/>
    </xf>
    <xf numFmtId="0" fontId="0" fillId="0" borderId="15" xfId="0" applyBorder="1" applyAlignment="1">
      <alignment horizontal="center" vertical="center"/>
    </xf>
    <xf numFmtId="0" fontId="0" fillId="0" borderId="15" xfId="0" applyBorder="1" applyAlignment="1">
      <alignment horizontal="center" vertical="center"/>
    </xf>
    <xf numFmtId="170" fontId="3" fillId="0" borderId="0" xfId="2" applyNumberFormat="1" applyFont="1" applyFill="1" applyAlignment="1">
      <alignment vertical="center"/>
    </xf>
    <xf numFmtId="0" fontId="3" fillId="0" borderId="0" xfId="0" applyFont="1" applyFill="1" applyBorder="1" applyAlignment="1">
      <alignment vertical="center"/>
    </xf>
    <xf numFmtId="170" fontId="0" fillId="0" borderId="0" xfId="0" applyNumberFormat="1" applyFill="1" applyBorder="1" applyAlignment="1">
      <alignment vertical="center"/>
    </xf>
    <xf numFmtId="171" fontId="11" fillId="0" borderId="0" xfId="1" applyNumberFormat="1" applyFont="1" applyFill="1" applyBorder="1" applyAlignment="1">
      <alignment vertical="center"/>
    </xf>
    <xf numFmtId="169" fontId="0" fillId="0" borderId="0" xfId="0" applyNumberFormat="1" applyAlignment="1">
      <alignment vertical="center"/>
    </xf>
    <xf numFmtId="166" fontId="0" fillId="0" borderId="9" xfId="1" applyFont="1" applyBorder="1" applyAlignment="1">
      <alignment vertical="center"/>
    </xf>
    <xf numFmtId="166" fontId="0" fillId="0" borderId="1" xfId="1" applyFont="1" applyBorder="1" applyAlignment="1">
      <alignment vertical="center"/>
    </xf>
    <xf numFmtId="166" fontId="0" fillId="0" borderId="10" xfId="1" applyFont="1" applyBorder="1" applyAlignment="1">
      <alignment horizontal="center" vertical="center"/>
    </xf>
    <xf numFmtId="166" fontId="0" fillId="0" borderId="1" xfId="1" applyFont="1" applyBorder="1" applyAlignment="1">
      <alignment horizontal="center" vertical="center"/>
    </xf>
    <xf numFmtId="166" fontId="0" fillId="5" borderId="1" xfId="1" applyFont="1" applyFill="1" applyBorder="1" applyAlignment="1">
      <alignment vertical="center"/>
    </xf>
    <xf numFmtId="166" fontId="0" fillId="4" borderId="1" xfId="1" applyFont="1" applyFill="1" applyBorder="1" applyAlignment="1">
      <alignment vertical="center"/>
    </xf>
    <xf numFmtId="166" fontId="0" fillId="2" borderId="1" xfId="1" applyFont="1" applyFill="1" applyBorder="1" applyAlignment="1">
      <alignment vertical="center"/>
    </xf>
    <xf numFmtId="166" fontId="0" fillId="0" borderId="1" xfId="1" applyFont="1" applyFill="1" applyBorder="1" applyAlignment="1">
      <alignment vertical="center"/>
    </xf>
    <xf numFmtId="171" fontId="1" fillId="2" borderId="1" xfId="1" applyNumberFormat="1" applyFont="1" applyFill="1" applyBorder="1" applyAlignment="1">
      <alignment vertical="center"/>
    </xf>
    <xf numFmtId="0" fontId="0" fillId="0" borderId="5" xfId="0" applyBorder="1" applyAlignment="1">
      <alignment vertical="center"/>
    </xf>
    <xf numFmtId="10" fontId="3" fillId="0" borderId="6" xfId="2" applyNumberFormat="1" applyFont="1" applyBorder="1" applyAlignment="1">
      <alignment vertical="center"/>
    </xf>
    <xf numFmtId="174" fontId="0" fillId="0" borderId="9" xfId="3" applyNumberFormat="1" applyFont="1" applyBorder="1" applyAlignment="1">
      <alignment vertical="center"/>
    </xf>
    <xf numFmtId="174" fontId="0" fillId="6" borderId="1" xfId="3" applyNumberFormat="1" applyFont="1" applyFill="1" applyBorder="1" applyAlignment="1">
      <alignment vertical="center"/>
    </xf>
    <xf numFmtId="174" fontId="0" fillId="2" borderId="1" xfId="3" applyNumberFormat="1" applyFont="1" applyFill="1" applyBorder="1" applyAlignment="1">
      <alignment vertical="center"/>
    </xf>
    <xf numFmtId="174" fontId="0" fillId="0" borderId="1" xfId="0" applyNumberFormat="1" applyBorder="1" applyAlignment="1">
      <alignment vertical="center"/>
    </xf>
    <xf numFmtId="0" fontId="13" fillId="0" borderId="1" xfId="0" applyFont="1" applyBorder="1" applyAlignment="1">
      <alignment horizontal="center" vertical="center"/>
    </xf>
    <xf numFmtId="0" fontId="0" fillId="0" borderId="10" xfId="0" applyBorder="1" applyAlignment="1">
      <alignment vertical="center"/>
    </xf>
    <xf numFmtId="174" fontId="0" fillId="0" borderId="1" xfId="3" applyNumberFormat="1" applyFont="1" applyBorder="1" applyAlignment="1">
      <alignment vertical="center"/>
    </xf>
    <xf numFmtId="0" fontId="2" fillId="0" borderId="1" xfId="0" applyFont="1" applyBorder="1" applyAlignment="1">
      <alignment vertical="center" wrapText="1"/>
    </xf>
    <xf numFmtId="166" fontId="0" fillId="0" borderId="0" xfId="1" applyFont="1" applyFill="1" applyBorder="1" applyAlignment="1">
      <alignment vertical="center"/>
    </xf>
    <xf numFmtId="174" fontId="0" fillId="0" borderId="8" xfId="3" applyNumberFormat="1" applyFont="1" applyBorder="1" applyAlignment="1">
      <alignment vertical="center"/>
    </xf>
    <xf numFmtId="174" fontId="0" fillId="0" borderId="11" xfId="3" applyNumberFormat="1" applyFont="1" applyBorder="1" applyAlignment="1">
      <alignment vertical="center"/>
    </xf>
    <xf numFmtId="174" fontId="0" fillId="3" borderId="9" xfId="3" applyNumberFormat="1" applyFont="1" applyFill="1" applyBorder="1" applyAlignment="1">
      <alignment vertical="center"/>
    </xf>
    <xf numFmtId="0" fontId="10" fillId="0" borderId="8" xfId="0" applyFont="1" applyBorder="1" applyAlignment="1">
      <alignment horizontal="center" vertical="center"/>
    </xf>
    <xf numFmtId="0" fontId="9" fillId="0" borderId="9" xfId="0" applyFont="1"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9" fillId="0" borderId="7" xfId="0" applyFont="1" applyFill="1" applyBorder="1" applyAlignment="1">
      <alignment horizontal="center" vertical="center"/>
    </xf>
    <xf numFmtId="0" fontId="3" fillId="0" borderId="9" xfId="0" applyFont="1" applyBorder="1" applyAlignment="1">
      <alignment horizontal="center" vertical="center"/>
    </xf>
    <xf numFmtId="170" fontId="4" fillId="0" borderId="1" xfId="2" applyNumberFormat="1" applyFont="1" applyFill="1" applyBorder="1" applyAlignment="1">
      <alignment vertical="center"/>
    </xf>
    <xf numFmtId="0" fontId="0" fillId="0" borderId="10" xfId="0" applyFill="1" applyBorder="1" applyAlignment="1">
      <alignment horizontal="center" vertical="center"/>
    </xf>
    <xf numFmtId="170" fontId="4" fillId="0" borderId="15" xfId="2" applyNumberFormat="1" applyFont="1" applyFill="1" applyBorder="1" applyAlignment="1">
      <alignment vertical="center"/>
    </xf>
    <xf numFmtId="0" fontId="0" fillId="0" borderId="3" xfId="0" applyFill="1" applyBorder="1" applyAlignment="1">
      <alignment horizontal="center" vertical="center"/>
    </xf>
    <xf numFmtId="171" fontId="0" fillId="0" borderId="7" xfId="1" applyNumberFormat="1" applyFont="1" applyFill="1" applyBorder="1" applyAlignment="1">
      <alignment vertical="center"/>
    </xf>
    <xf numFmtId="166" fontId="0" fillId="0" borderId="7" xfId="1" applyFont="1" applyFill="1" applyBorder="1" applyAlignment="1">
      <alignment vertical="center"/>
    </xf>
    <xf numFmtId="169" fontId="0" fillId="0" borderId="7" xfId="1" applyNumberFormat="1" applyFont="1" applyFill="1" applyBorder="1" applyAlignment="1">
      <alignment vertical="center"/>
    </xf>
    <xf numFmtId="170" fontId="0" fillId="0" borderId="7" xfId="2" applyNumberFormat="1" applyFont="1" applyFill="1" applyBorder="1" applyAlignment="1">
      <alignment vertical="center"/>
    </xf>
    <xf numFmtId="0" fontId="0" fillId="5" borderId="10" xfId="0" applyFill="1" applyBorder="1" applyAlignment="1">
      <alignment horizontal="center" vertical="center"/>
    </xf>
    <xf numFmtId="0" fontId="0" fillId="4" borderId="10" xfId="0" applyFill="1" applyBorder="1" applyAlignment="1">
      <alignment horizontal="center" vertical="center"/>
    </xf>
    <xf numFmtId="0" fontId="0" fillId="2" borderId="10" xfId="0" applyFill="1" applyBorder="1" applyAlignment="1">
      <alignment horizontal="center" vertical="center"/>
    </xf>
    <xf numFmtId="14" fontId="0" fillId="5" borderId="15" xfId="0" applyNumberFormat="1" applyFill="1" applyBorder="1" applyAlignment="1">
      <alignment vertical="center"/>
    </xf>
    <xf numFmtId="14" fontId="0" fillId="4" borderId="15" xfId="0" applyNumberFormat="1" applyFill="1" applyBorder="1" applyAlignment="1">
      <alignment vertical="center"/>
    </xf>
    <xf numFmtId="14" fontId="0" fillId="2" borderId="15" xfId="0" applyNumberFormat="1" applyFill="1" applyBorder="1" applyAlignment="1">
      <alignment vertical="center"/>
    </xf>
    <xf numFmtId="0" fontId="13" fillId="7" borderId="6" xfId="0" applyFont="1" applyFill="1" applyBorder="1" applyAlignment="1">
      <alignment horizontal="center" vertical="center"/>
    </xf>
    <xf numFmtId="0" fontId="13" fillId="7" borderId="9" xfId="0" applyFont="1" applyFill="1" applyBorder="1" applyAlignment="1">
      <alignment horizontal="left" vertical="center"/>
    </xf>
    <xf numFmtId="0" fontId="13" fillId="7" borderId="9" xfId="0" applyFont="1" applyFill="1" applyBorder="1" applyAlignment="1">
      <alignment horizontal="center" vertical="center"/>
    </xf>
    <xf numFmtId="0" fontId="13" fillId="7" borderId="14" xfId="0" applyFont="1" applyFill="1" applyBorder="1" applyAlignment="1">
      <alignment horizontal="center" vertical="center"/>
    </xf>
    <xf numFmtId="170" fontId="13" fillId="7" borderId="9" xfId="2" applyNumberFormat="1" applyFont="1" applyFill="1" applyBorder="1" applyAlignment="1">
      <alignment horizontal="center" vertical="center"/>
    </xf>
    <xf numFmtId="170" fontId="13" fillId="7" borderId="14" xfId="2" applyNumberFormat="1" applyFont="1" applyFill="1" applyBorder="1" applyAlignment="1">
      <alignment horizontal="center" vertical="center"/>
    </xf>
    <xf numFmtId="171" fontId="4" fillId="0" borderId="7" xfId="1" applyNumberFormat="1" applyFont="1" applyFill="1" applyBorder="1" applyAlignment="1">
      <alignment vertical="center"/>
    </xf>
    <xf numFmtId="14" fontId="0" fillId="0" borderId="12" xfId="0" applyNumberFormat="1" applyFill="1" applyBorder="1" applyAlignment="1">
      <alignment vertical="center"/>
    </xf>
    <xf numFmtId="170" fontId="3" fillId="0" borderId="0" xfId="2" applyNumberFormat="1" applyFont="1" applyBorder="1" applyAlignment="1">
      <alignment horizontal="right" vertical="center"/>
    </xf>
    <xf numFmtId="171" fontId="4" fillId="0" borderId="0" xfId="1" applyNumberFormat="1" applyFont="1" applyFill="1" applyBorder="1" applyAlignment="1">
      <alignment vertical="center"/>
    </xf>
    <xf numFmtId="170" fontId="3" fillId="0" borderId="0" xfId="2" applyNumberFormat="1" applyFont="1" applyFill="1" applyBorder="1" applyAlignment="1">
      <alignment vertical="center"/>
    </xf>
    <xf numFmtId="174" fontId="0" fillId="5" borderId="15" xfId="3" applyNumberFormat="1" applyFont="1" applyFill="1" applyBorder="1" applyAlignment="1">
      <alignment vertical="center"/>
    </xf>
    <xf numFmtId="174" fontId="0" fillId="4" borderId="15" xfId="3" applyNumberFormat="1" applyFont="1" applyFill="1" applyBorder="1" applyAlignment="1">
      <alignment vertical="center"/>
    </xf>
    <xf numFmtId="174" fontId="0" fillId="2" borderId="15" xfId="3" applyNumberFormat="1" applyFont="1" applyFill="1" applyBorder="1" applyAlignment="1">
      <alignment vertical="center"/>
    </xf>
    <xf numFmtId="0" fontId="0" fillId="0" borderId="7" xfId="0" applyFill="1" applyBorder="1" applyAlignment="1">
      <alignment horizontal="center" vertical="center"/>
    </xf>
    <xf numFmtId="166" fontId="0" fillId="0" borderId="1" xfId="1" applyNumberFormat="1" applyFont="1" applyFill="1" applyBorder="1" applyAlignment="1">
      <alignment vertical="center"/>
    </xf>
    <xf numFmtId="166" fontId="0" fillId="0" borderId="7" xfId="1" applyNumberFormat="1" applyFont="1" applyFill="1" applyBorder="1" applyAlignment="1">
      <alignment vertical="center"/>
    </xf>
    <xf numFmtId="166" fontId="0" fillId="0" borderId="0" xfId="1" applyNumberFormat="1" applyFont="1" applyFill="1" applyBorder="1" applyAlignment="1">
      <alignment vertical="center"/>
    </xf>
    <xf numFmtId="166" fontId="0" fillId="5" borderId="1" xfId="1" applyNumberFormat="1" applyFont="1" applyFill="1" applyBorder="1" applyAlignment="1">
      <alignment vertical="center"/>
    </xf>
    <xf numFmtId="166" fontId="0" fillId="4" borderId="1" xfId="1" applyNumberFormat="1" applyFont="1" applyFill="1" applyBorder="1" applyAlignment="1">
      <alignment vertical="center"/>
    </xf>
    <xf numFmtId="166" fontId="0" fillId="2" borderId="1" xfId="1" applyNumberFormat="1" applyFont="1" applyFill="1" applyBorder="1" applyAlignment="1">
      <alignment vertical="center"/>
    </xf>
    <xf numFmtId="0" fontId="13" fillId="7" borderId="1" xfId="0" applyFont="1" applyFill="1" applyBorder="1" applyAlignment="1">
      <alignment horizontal="center" vertical="center"/>
    </xf>
    <xf numFmtId="0" fontId="0" fillId="0" borderId="4" xfId="0" applyBorder="1" applyAlignment="1">
      <alignment vertical="center"/>
    </xf>
    <xf numFmtId="170" fontId="0" fillId="0" borderId="13" xfId="2" applyNumberFormat="1" applyFont="1" applyBorder="1" applyAlignment="1">
      <alignment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14" xfId="0" applyFont="1" applyBorder="1" applyAlignment="1">
      <alignment horizontal="center" vertical="center"/>
    </xf>
    <xf numFmtId="0" fontId="2" fillId="0" borderId="5" xfId="0" applyFont="1" applyBorder="1" applyAlignment="1">
      <alignment horizontal="center" vertical="center"/>
    </xf>
    <xf numFmtId="0" fontId="0" fillId="0" borderId="4" xfId="0" applyBorder="1" applyAlignment="1">
      <alignment horizontal="center" vertical="center"/>
    </xf>
    <xf numFmtId="10" fontId="0" fillId="3" borderId="9" xfId="2" applyNumberFormat="1" applyFont="1" applyFill="1" applyBorder="1" applyAlignment="1">
      <alignment vertical="center"/>
    </xf>
    <xf numFmtId="170" fontId="0" fillId="3" borderId="9" xfId="2" applyNumberFormat="1" applyFont="1" applyFill="1" applyBorder="1" applyAlignment="1">
      <alignment vertical="center"/>
    </xf>
    <xf numFmtId="0" fontId="14" fillId="8" borderId="6" xfId="0" applyFont="1" applyFill="1" applyBorder="1" applyAlignment="1">
      <alignment horizontal="center" vertical="center"/>
    </xf>
    <xf numFmtId="0" fontId="14" fillId="8" borderId="14" xfId="0" applyFont="1" applyFill="1" applyBorder="1" applyAlignment="1">
      <alignment horizontal="center" vertical="center"/>
    </xf>
    <xf numFmtId="174" fontId="0" fillId="0" borderId="13" xfId="3" applyNumberFormat="1" applyFont="1" applyBorder="1" applyAlignment="1">
      <alignment vertical="center"/>
    </xf>
    <xf numFmtId="14" fontId="0" fillId="2" borderId="1" xfId="0" applyNumberFormat="1" applyFill="1" applyBorder="1" applyAlignment="1">
      <alignment vertical="center"/>
    </xf>
    <xf numFmtId="10" fontId="0" fillId="0" borderId="1" xfId="2" applyNumberFormat="1" applyFont="1" applyFill="1" applyBorder="1" applyAlignment="1">
      <alignment vertical="center"/>
    </xf>
    <xf numFmtId="174" fontId="0" fillId="0" borderId="0" xfId="0" applyNumberFormat="1" applyAlignment="1">
      <alignment vertical="center"/>
    </xf>
    <xf numFmtId="14" fontId="0" fillId="0" borderId="1" xfId="0" applyNumberFormat="1" applyFill="1" applyBorder="1" applyAlignment="1">
      <alignment vertical="center"/>
    </xf>
    <xf numFmtId="172" fontId="0" fillId="3" borderId="0" xfId="1" applyNumberFormat="1" applyFont="1" applyFill="1" applyAlignment="1">
      <alignment vertical="center"/>
    </xf>
    <xf numFmtId="0" fontId="0" fillId="3" borderId="0" xfId="0" applyFill="1" applyBorder="1" applyAlignment="1">
      <alignment horizontal="center" vertical="center"/>
    </xf>
    <xf numFmtId="0" fontId="0" fillId="3" borderId="0" xfId="0" applyFill="1" applyBorder="1" applyAlignment="1">
      <alignment vertical="center"/>
    </xf>
    <xf numFmtId="171" fontId="0" fillId="3" borderId="0" xfId="1" applyNumberFormat="1" applyFont="1" applyFill="1" applyBorder="1" applyAlignment="1">
      <alignment vertical="center"/>
    </xf>
    <xf numFmtId="166" fontId="0" fillId="3" borderId="0" xfId="1" applyFont="1" applyFill="1" applyBorder="1" applyAlignment="1">
      <alignment vertical="center"/>
    </xf>
    <xf numFmtId="166" fontId="0" fillId="3" borderId="0" xfId="1" applyNumberFormat="1" applyFont="1" applyFill="1" applyBorder="1" applyAlignment="1">
      <alignment vertical="center"/>
    </xf>
    <xf numFmtId="170" fontId="0" fillId="3" borderId="0" xfId="2" applyNumberFormat="1" applyFont="1" applyFill="1" applyBorder="1" applyAlignment="1">
      <alignment vertical="center"/>
    </xf>
    <xf numFmtId="171" fontId="4" fillId="3" borderId="0" xfId="1" applyNumberFormat="1" applyFont="1" applyFill="1" applyBorder="1" applyAlignment="1">
      <alignment vertical="center"/>
    </xf>
    <xf numFmtId="9" fontId="0" fillId="3" borderId="0" xfId="2" applyFont="1" applyFill="1" applyBorder="1" applyAlignment="1">
      <alignment vertical="center"/>
    </xf>
    <xf numFmtId="14" fontId="0" fillId="3" borderId="0" xfId="0" applyNumberFormat="1" applyFill="1" applyBorder="1" applyAlignment="1">
      <alignment vertical="center"/>
    </xf>
    <xf numFmtId="171" fontId="4" fillId="3" borderId="0" xfId="0" applyNumberFormat="1" applyFont="1" applyFill="1" applyBorder="1" applyAlignment="1">
      <alignment vertical="center"/>
    </xf>
    <xf numFmtId="171" fontId="0" fillId="3" borderId="0" xfId="0" applyNumberFormat="1" applyFont="1" applyFill="1" applyBorder="1" applyAlignment="1">
      <alignment vertical="center"/>
    </xf>
    <xf numFmtId="166" fontId="0" fillId="3" borderId="0" xfId="0" applyNumberFormat="1" applyFont="1" applyFill="1" applyBorder="1" applyAlignment="1">
      <alignment vertical="center"/>
    </xf>
    <xf numFmtId="170" fontId="0" fillId="3" borderId="0" xfId="0" applyNumberFormat="1" applyFont="1" applyFill="1" applyBorder="1" applyAlignment="1">
      <alignment vertical="center"/>
    </xf>
    <xf numFmtId="0" fontId="2" fillId="0" borderId="1" xfId="0" applyFont="1" applyBorder="1" applyAlignment="1">
      <alignment horizontal="center" vertical="center"/>
    </xf>
    <xf numFmtId="176" fontId="0" fillId="0" borderId="1" xfId="3" applyNumberFormat="1" applyFont="1" applyFill="1" applyBorder="1" applyAlignment="1">
      <alignment vertical="center"/>
    </xf>
    <xf numFmtId="168" fontId="0" fillId="0" borderId="0" xfId="3" applyFont="1" applyAlignment="1">
      <alignment vertical="center"/>
    </xf>
    <xf numFmtId="0" fontId="8" fillId="0" borderId="0" xfId="0" applyFont="1" applyAlignment="1">
      <alignment horizontal="right" vertical="center"/>
    </xf>
    <xf numFmtId="168" fontId="8" fillId="0" borderId="0" xfId="3" applyFont="1" applyAlignment="1">
      <alignment vertical="center"/>
    </xf>
    <xf numFmtId="0" fontId="2" fillId="0" borderId="16" xfId="0" applyFont="1" applyBorder="1" applyAlignment="1">
      <alignment vertical="center" wrapText="1"/>
    </xf>
    <xf numFmtId="0" fontId="0" fillId="0" borderId="0" xfId="0" applyFont="1" applyAlignment="1">
      <alignment vertical="center"/>
    </xf>
    <xf numFmtId="0" fontId="2" fillId="0" borderId="1" xfId="0" applyFont="1" applyFill="1" applyBorder="1" applyAlignment="1">
      <alignment vertical="center"/>
    </xf>
    <xf numFmtId="0" fontId="0" fillId="0" borderId="1" xfId="0" applyFont="1" applyBorder="1" applyAlignment="1">
      <alignment vertical="center"/>
    </xf>
    <xf numFmtId="0" fontId="15" fillId="0" borderId="0" xfId="0" applyFont="1" applyAlignment="1">
      <alignment horizontal="right" vertical="center"/>
    </xf>
    <xf numFmtId="168" fontId="15" fillId="0" borderId="0" xfId="3" applyFont="1" applyAlignment="1">
      <alignment vertical="center"/>
    </xf>
    <xf numFmtId="174" fontId="0" fillId="0" borderId="0" xfId="3" applyNumberFormat="1" applyFont="1" applyAlignment="1">
      <alignment vertical="center"/>
    </xf>
    <xf numFmtId="43" fontId="0" fillId="0" borderId="0" xfId="0" applyNumberFormat="1" applyAlignment="1">
      <alignment vertical="center"/>
    </xf>
    <xf numFmtId="9" fontId="0" fillId="0" borderId="0" xfId="2" applyFont="1" applyBorder="1" applyAlignment="1">
      <alignment vertical="center"/>
    </xf>
    <xf numFmtId="0" fontId="2" fillId="0" borderId="0" xfId="0" applyFont="1" applyBorder="1" applyAlignment="1">
      <alignment vertical="center"/>
    </xf>
    <xf numFmtId="177" fontId="0" fillId="0" borderId="1" xfId="0" applyNumberFormat="1" applyBorder="1" applyAlignment="1">
      <alignment vertical="center"/>
    </xf>
    <xf numFmtId="174" fontId="0" fillId="0" borderId="1" xfId="3" applyNumberFormat="1" applyFont="1" applyBorder="1" applyAlignment="1">
      <alignment horizontal="center" vertical="center"/>
    </xf>
    <xf numFmtId="43" fontId="0" fillId="0" borderId="1" xfId="0" applyNumberFormat="1" applyBorder="1" applyAlignment="1">
      <alignment horizontal="center" vertical="center"/>
    </xf>
    <xf numFmtId="174" fontId="0" fillId="0" borderId="15" xfId="3" applyNumberFormat="1" applyFont="1" applyBorder="1" applyAlignment="1">
      <alignment vertical="center"/>
    </xf>
    <xf numFmtId="0" fontId="15" fillId="0" borderId="1" xfId="0" applyFont="1" applyBorder="1" applyAlignment="1">
      <alignment horizontal="right" vertical="center"/>
    </xf>
    <xf numFmtId="168" fontId="15" fillId="0" borderId="1" xfId="3" applyFont="1" applyBorder="1" applyAlignment="1">
      <alignment vertical="center"/>
    </xf>
    <xf numFmtId="168" fontId="6" fillId="0" borderId="1" xfId="3" applyFont="1" applyBorder="1" applyAlignment="1">
      <alignment vertical="center"/>
    </xf>
    <xf numFmtId="168" fontId="16" fillId="0" borderId="1" xfId="3" applyFont="1" applyBorder="1" applyAlignment="1">
      <alignment vertical="center"/>
    </xf>
    <xf numFmtId="176" fontId="0" fillId="0" borderId="0" xfId="0" applyNumberFormat="1" applyAlignment="1">
      <alignment vertical="center"/>
    </xf>
    <xf numFmtId="14" fontId="0" fillId="0" borderId="1" xfId="0" applyNumberFormat="1" applyBorder="1" applyAlignment="1">
      <alignment horizontal="right" vertical="center"/>
    </xf>
    <xf numFmtId="170" fontId="0" fillId="0" borderId="1" xfId="2" applyNumberFormat="1" applyFont="1" applyBorder="1" applyAlignment="1">
      <alignment vertical="center"/>
    </xf>
    <xf numFmtId="14" fontId="0" fillId="0" borderId="1" xfId="0" applyNumberFormat="1" applyBorder="1" applyAlignment="1">
      <alignment vertical="center"/>
    </xf>
    <xf numFmtId="0" fontId="17" fillId="0" borderId="0" xfId="0" applyFont="1" applyAlignment="1">
      <alignment vertical="center"/>
    </xf>
    <xf numFmtId="0" fontId="9" fillId="0" borderId="1"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horizontal="center" vertical="center"/>
    </xf>
    <xf numFmtId="0" fontId="0" fillId="0" borderId="1" xfId="0" applyBorder="1"/>
    <xf numFmtId="9" fontId="0" fillId="0" borderId="1" xfId="2" applyFont="1" applyBorder="1"/>
    <xf numFmtId="168" fontId="0" fillId="0" borderId="1" xfId="3" applyFont="1" applyBorder="1"/>
    <xf numFmtId="9" fontId="0" fillId="0" borderId="1" xfId="0" applyNumberFormat="1" applyBorder="1"/>
    <xf numFmtId="0" fontId="0" fillId="0" borderId="7" xfId="0" applyBorder="1"/>
    <xf numFmtId="9" fontId="0" fillId="0" borderId="7" xfId="0" applyNumberFormat="1" applyBorder="1"/>
    <xf numFmtId="0" fontId="0" fillId="0" borderId="2" xfId="0" applyBorder="1" applyAlignment="1">
      <alignment vertical="center"/>
    </xf>
    <xf numFmtId="0" fontId="0" fillId="0" borderId="3" xfId="0" applyBorder="1" applyAlignment="1">
      <alignment vertical="center"/>
    </xf>
    <xf numFmtId="176" fontId="0" fillId="2" borderId="1" xfId="3" applyNumberFormat="1" applyFont="1" applyFill="1" applyBorder="1" applyAlignment="1">
      <alignment vertical="center"/>
    </xf>
    <xf numFmtId="10" fontId="0" fillId="2" borderId="1" xfId="2" applyNumberFormat="1" applyFont="1" applyFill="1" applyBorder="1" applyAlignment="1">
      <alignment vertical="center"/>
    </xf>
    <xf numFmtId="171" fontId="0" fillId="11" borderId="1" xfId="1" applyNumberFormat="1" applyFont="1" applyFill="1" applyBorder="1" applyAlignment="1">
      <alignment vertical="center"/>
    </xf>
    <xf numFmtId="176" fontId="0" fillId="11" borderId="1" xfId="3" applyNumberFormat="1" applyFont="1" applyFill="1" applyBorder="1" applyAlignment="1">
      <alignment vertical="center"/>
    </xf>
    <xf numFmtId="168" fontId="0" fillId="2" borderId="1" xfId="3" applyFont="1" applyFill="1" applyBorder="1" applyAlignment="1">
      <alignment vertical="center"/>
    </xf>
    <xf numFmtId="168" fontId="0" fillId="11" borderId="1" xfId="3" applyFont="1" applyFill="1" applyBorder="1" applyAlignment="1">
      <alignment vertical="center"/>
    </xf>
    <xf numFmtId="9" fontId="0" fillId="0" borderId="0" xfId="2" applyFont="1" applyAlignment="1">
      <alignment vertical="center"/>
    </xf>
    <xf numFmtId="10" fontId="0" fillId="11" borderId="15" xfId="2" applyNumberFormat="1" applyFont="1" applyFill="1" applyBorder="1" applyAlignment="1">
      <alignment vertical="center"/>
    </xf>
    <xf numFmtId="0" fontId="2" fillId="2" borderId="9" xfId="0" applyFont="1" applyFill="1" applyBorder="1" applyAlignment="1">
      <alignment horizontal="center" vertical="center"/>
    </xf>
    <xf numFmtId="176" fontId="2" fillId="2" borderId="9" xfId="0" applyNumberFormat="1" applyFont="1" applyFill="1" applyBorder="1" applyAlignment="1">
      <alignment horizontal="center" vertical="center"/>
    </xf>
    <xf numFmtId="0" fontId="2" fillId="11" borderId="9" xfId="0" applyFont="1" applyFill="1" applyBorder="1" applyAlignment="1">
      <alignment horizontal="center" vertical="center"/>
    </xf>
    <xf numFmtId="176" fontId="2" fillId="11" borderId="9" xfId="0" applyNumberFormat="1" applyFont="1" applyFill="1" applyBorder="1" applyAlignment="1">
      <alignment horizontal="center" vertical="center"/>
    </xf>
    <xf numFmtId="0" fontId="2" fillId="11" borderId="14" xfId="0" applyFont="1" applyFill="1" applyBorder="1" applyAlignment="1">
      <alignment horizontal="center" vertical="center"/>
    </xf>
    <xf numFmtId="14" fontId="0" fillId="0" borderId="7" xfId="0" applyNumberFormat="1" applyBorder="1" applyAlignment="1">
      <alignment vertical="center"/>
    </xf>
    <xf numFmtId="172" fontId="0" fillId="0" borderId="7" xfId="0" applyNumberFormat="1" applyBorder="1" applyAlignment="1">
      <alignment vertical="center"/>
    </xf>
    <xf numFmtId="172" fontId="0" fillId="0" borderId="9" xfId="3" applyNumberFormat="1" applyFont="1" applyBorder="1" applyAlignment="1">
      <alignment vertical="center"/>
    </xf>
    <xf numFmtId="172" fontId="0" fillId="0" borderId="11" xfId="0" applyNumberFormat="1" applyBorder="1" applyAlignment="1">
      <alignment vertical="center"/>
    </xf>
    <xf numFmtId="0" fontId="0" fillId="9" borderId="1" xfId="0" applyFont="1" applyFill="1" applyBorder="1" applyAlignment="1">
      <alignment horizontal="center" vertical="center"/>
    </xf>
    <xf numFmtId="0" fontId="4" fillId="9" borderId="1" xfId="0" applyFont="1" applyFill="1" applyBorder="1" applyAlignment="1">
      <alignment vertical="center"/>
    </xf>
    <xf numFmtId="174" fontId="0" fillId="9" borderId="1" xfId="3" applyNumberFormat="1" applyFont="1" applyFill="1" applyBorder="1" applyAlignment="1">
      <alignment vertical="center"/>
    </xf>
    <xf numFmtId="172" fontId="0" fillId="0" borderId="1" xfId="0" applyNumberFormat="1" applyBorder="1" applyAlignment="1">
      <alignment vertical="center" wrapText="1"/>
    </xf>
    <xf numFmtId="14" fontId="0" fillId="0" borderId="9" xfId="0" applyNumberFormat="1" applyBorder="1" applyAlignment="1">
      <alignment vertical="center"/>
    </xf>
    <xf numFmtId="172" fontId="0" fillId="0" borderId="9" xfId="0" applyNumberFormat="1" applyBorder="1" applyAlignment="1">
      <alignment vertical="center"/>
    </xf>
    <xf numFmtId="10" fontId="0" fillId="0" borderId="9" xfId="0" applyNumberFormat="1" applyBorder="1" applyAlignment="1">
      <alignment vertical="center"/>
    </xf>
    <xf numFmtId="172" fontId="0" fillId="0" borderId="7" xfId="0" applyNumberFormat="1" applyBorder="1" applyAlignment="1">
      <alignment vertical="center" wrapText="1"/>
    </xf>
    <xf numFmtId="0" fontId="2" fillId="0" borderId="1" xfId="0" applyFont="1" applyBorder="1" applyAlignment="1">
      <alignment horizontal="center" vertical="center"/>
    </xf>
    <xf numFmtId="9" fontId="0" fillId="0" borderId="0" xfId="0" applyNumberFormat="1" applyAlignment="1">
      <alignment vertical="center"/>
    </xf>
    <xf numFmtId="0" fontId="2" fillId="0" borderId="12" xfId="0" applyFont="1" applyBorder="1" applyAlignment="1">
      <alignment vertical="center"/>
    </xf>
    <xf numFmtId="9" fontId="0" fillId="0" borderId="0" xfId="0" applyNumberFormat="1" applyBorder="1" applyAlignment="1">
      <alignment vertical="center"/>
    </xf>
    <xf numFmtId="9" fontId="0" fillId="0" borderId="2" xfId="0" applyNumberFormat="1" applyBorder="1" applyAlignment="1">
      <alignment vertical="center"/>
    </xf>
    <xf numFmtId="9" fontId="0" fillId="0" borderId="5" xfId="0" applyNumberFormat="1" applyBorder="1" applyAlignment="1">
      <alignment vertical="center"/>
    </xf>
    <xf numFmtId="0" fontId="0" fillId="0" borderId="8" xfId="0" applyBorder="1" applyAlignment="1">
      <alignment horizontal="center" vertical="center"/>
    </xf>
    <xf numFmtId="9" fontId="2" fillId="0" borderId="1" xfId="0" applyNumberFormat="1" applyFont="1" applyBorder="1" applyAlignment="1">
      <alignment vertical="center"/>
    </xf>
    <xf numFmtId="9" fontId="0" fillId="0" borderId="7" xfId="0" applyNumberFormat="1" applyBorder="1" applyAlignment="1">
      <alignment horizontal="center" vertical="center"/>
    </xf>
    <xf numFmtId="9" fontId="0" fillId="0" borderId="9" xfId="0" applyNumberFormat="1" applyBorder="1" applyAlignment="1">
      <alignment horizontal="center" vertical="center"/>
    </xf>
    <xf numFmtId="9" fontId="0" fillId="0" borderId="1" xfId="0" applyNumberFormat="1" applyBorder="1" applyAlignment="1">
      <alignment horizontal="center" vertical="center"/>
    </xf>
    <xf numFmtId="0" fontId="18" fillId="3" borderId="1" xfId="0" applyFont="1" applyFill="1" applyBorder="1" applyAlignment="1">
      <alignment vertical="center"/>
    </xf>
    <xf numFmtId="9" fontId="18" fillId="3" borderId="1" xfId="0" applyNumberFormat="1" applyFont="1" applyFill="1" applyBorder="1" applyAlignment="1">
      <alignment vertical="center"/>
    </xf>
    <xf numFmtId="176" fontId="18" fillId="3" borderId="1" xfId="0" applyNumberFormat="1" applyFont="1" applyFill="1" applyBorder="1" applyAlignment="1">
      <alignment vertical="center"/>
    </xf>
    <xf numFmtId="172" fontId="3" fillId="0" borderId="1" xfId="1" applyNumberFormat="1" applyFont="1" applyBorder="1" applyAlignment="1">
      <alignment vertical="center"/>
    </xf>
    <xf numFmtId="172" fontId="6" fillId="0" borderId="1" xfId="1" applyNumberFormat="1"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14" fontId="0" fillId="0" borderId="1" xfId="0" applyNumberFormat="1" applyFont="1" applyBorder="1" applyAlignment="1">
      <alignment horizontal="right" vertical="center"/>
    </xf>
    <xf numFmtId="14" fontId="0" fillId="0" borderId="1" xfId="0" applyNumberFormat="1" applyFont="1" applyFill="1" applyBorder="1" applyAlignment="1">
      <alignment horizontal="right" vertical="center"/>
    </xf>
    <xf numFmtId="168" fontId="0" fillId="0" borderId="1" xfId="3" applyFont="1" applyFill="1" applyBorder="1" applyAlignment="1">
      <alignment vertical="center"/>
    </xf>
    <xf numFmtId="171" fontId="0" fillId="0" borderId="9" xfId="1" applyNumberFormat="1" applyFont="1" applyFill="1" applyBorder="1" applyAlignment="1">
      <alignment vertical="center"/>
    </xf>
    <xf numFmtId="169" fontId="0" fillId="0" borderId="9" xfId="1" applyNumberFormat="1" applyFont="1" applyFill="1" applyBorder="1" applyAlignment="1">
      <alignment vertical="center"/>
    </xf>
    <xf numFmtId="9" fontId="0" fillId="0" borderId="9" xfId="2" applyFont="1" applyFill="1" applyBorder="1" applyAlignment="1">
      <alignment vertical="center"/>
    </xf>
    <xf numFmtId="168" fontId="0" fillId="0" borderId="9" xfId="3" applyFont="1" applyFill="1" applyBorder="1" applyAlignment="1">
      <alignment vertical="center"/>
    </xf>
    <xf numFmtId="14" fontId="0" fillId="0" borderId="0" xfId="0" applyNumberFormat="1" applyAlignment="1">
      <alignment vertical="center"/>
    </xf>
    <xf numFmtId="0" fontId="3" fillId="0" borderId="1" xfId="0" applyFont="1" applyBorder="1" applyAlignment="1">
      <alignment vertical="center"/>
    </xf>
    <xf numFmtId="172" fontId="3" fillId="0" borderId="1" xfId="0" applyNumberFormat="1" applyFont="1" applyBorder="1" applyAlignment="1">
      <alignment vertical="center"/>
    </xf>
    <xf numFmtId="14" fontId="3" fillId="0" borderId="1" xfId="0" applyNumberFormat="1" applyFont="1" applyFill="1" applyBorder="1" applyAlignment="1">
      <alignment vertical="center"/>
    </xf>
    <xf numFmtId="178" fontId="3" fillId="0" borderId="1" xfId="2" applyNumberFormat="1" applyFont="1" applyBorder="1" applyAlignment="1">
      <alignment vertical="center"/>
    </xf>
    <xf numFmtId="166" fontId="2" fillId="0" borderId="3" xfId="1" applyNumberFormat="1" applyFont="1" applyBorder="1" applyAlignment="1">
      <alignment vertical="center"/>
    </xf>
    <xf numFmtId="166" fontId="0" fillId="0" borderId="4" xfId="1" applyNumberFormat="1" applyFont="1" applyBorder="1" applyAlignment="1">
      <alignment vertical="center"/>
    </xf>
    <xf numFmtId="172" fontId="0" fillId="0" borderId="6" xfId="1" applyNumberFormat="1" applyFont="1" applyBorder="1" applyAlignment="1">
      <alignment vertical="center"/>
    </xf>
    <xf numFmtId="0" fontId="0" fillId="2" borderId="12" xfId="0" applyFill="1" applyBorder="1" applyAlignment="1">
      <alignment vertical="center"/>
    </xf>
    <xf numFmtId="10" fontId="4" fillId="2" borderId="2" xfId="2" applyNumberFormat="1" applyFont="1" applyFill="1" applyBorder="1" applyAlignment="1">
      <alignment vertical="center"/>
    </xf>
    <xf numFmtId="172" fontId="0" fillId="2" borderId="2" xfId="0" applyNumberFormat="1" applyFill="1" applyBorder="1" applyAlignment="1">
      <alignment vertical="center"/>
    </xf>
    <xf numFmtId="170" fontId="0" fillId="2" borderId="3" xfId="2" applyNumberFormat="1" applyFont="1" applyFill="1" applyBorder="1" applyAlignment="1">
      <alignment vertical="center"/>
    </xf>
    <xf numFmtId="0" fontId="0" fillId="2" borderId="13" xfId="0" applyFill="1" applyBorder="1" applyAlignment="1">
      <alignment vertical="center"/>
    </xf>
    <xf numFmtId="10" fontId="4" fillId="2" borderId="0" xfId="2" applyNumberFormat="1" applyFont="1" applyFill="1" applyBorder="1" applyAlignment="1">
      <alignment vertical="center"/>
    </xf>
    <xf numFmtId="172" fontId="0" fillId="2" borderId="0" xfId="0" applyNumberFormat="1" applyFill="1" applyBorder="1" applyAlignment="1">
      <alignment vertical="center"/>
    </xf>
    <xf numFmtId="170" fontId="0" fillId="2" borderId="4" xfId="2" applyNumberFormat="1" applyFont="1" applyFill="1" applyBorder="1" applyAlignment="1">
      <alignment vertical="center"/>
    </xf>
    <xf numFmtId="0" fontId="0" fillId="10" borderId="14" xfId="0" applyFill="1" applyBorder="1" applyAlignment="1">
      <alignment vertical="center"/>
    </xf>
    <xf numFmtId="0" fontId="0" fillId="10" borderId="5" xfId="0" applyFill="1" applyBorder="1" applyAlignment="1">
      <alignment vertical="center"/>
    </xf>
    <xf numFmtId="175" fontId="0" fillId="10" borderId="5" xfId="0" applyNumberFormat="1" applyFill="1" applyBorder="1" applyAlignment="1">
      <alignment vertical="center"/>
    </xf>
    <xf numFmtId="170" fontId="0" fillId="10" borderId="6" xfId="2" applyNumberFormat="1" applyFont="1" applyFill="1" applyBorder="1" applyAlignment="1">
      <alignment vertical="center"/>
    </xf>
    <xf numFmtId="0" fontId="2" fillId="0" borderId="1" xfId="0" applyFont="1" applyBorder="1" applyAlignment="1">
      <alignment horizontal="center" vertical="center"/>
    </xf>
    <xf numFmtId="168" fontId="0" fillId="0" borderId="1" xfId="3" applyNumberFormat="1" applyFont="1" applyBorder="1" applyAlignment="1">
      <alignment vertical="center"/>
    </xf>
    <xf numFmtId="168" fontId="0" fillId="0" borderId="1" xfId="0" applyNumberFormat="1" applyBorder="1" applyAlignment="1">
      <alignment vertical="center"/>
    </xf>
    <xf numFmtId="168" fontId="0" fillId="0" borderId="7" xfId="3" applyNumberFormat="1" applyFont="1" applyBorder="1" applyAlignment="1">
      <alignment vertical="center"/>
    </xf>
    <xf numFmtId="168" fontId="0" fillId="0" borderId="11" xfId="3" applyNumberFormat="1" applyFont="1" applyBorder="1" applyAlignment="1">
      <alignment vertical="center"/>
    </xf>
    <xf numFmtId="168" fontId="0" fillId="0" borderId="9" xfId="3" applyNumberFormat="1" applyFont="1" applyBorder="1" applyAlignment="1">
      <alignment vertical="center"/>
    </xf>
    <xf numFmtId="170" fontId="0" fillId="0" borderId="9" xfId="2" applyNumberFormat="1" applyFont="1" applyBorder="1" applyAlignment="1">
      <alignment vertical="center"/>
    </xf>
    <xf numFmtId="168" fontId="0" fillId="0" borderId="1" xfId="3" applyFont="1" applyBorder="1" applyAlignment="1">
      <alignment vertical="center"/>
    </xf>
    <xf numFmtId="168" fontId="0" fillId="3" borderId="1" xfId="3" applyFont="1" applyFill="1" applyBorder="1" applyAlignment="1">
      <alignment vertical="center"/>
    </xf>
    <xf numFmtId="174" fontId="0" fillId="0" borderId="10" xfId="3" applyNumberFormat="1" applyFont="1" applyBorder="1" applyAlignment="1">
      <alignment vertical="center"/>
    </xf>
    <xf numFmtId="168" fontId="0" fillId="0" borderId="0" xfId="3" applyFont="1" applyBorder="1" applyAlignment="1">
      <alignment vertical="center"/>
    </xf>
    <xf numFmtId="14" fontId="0" fillId="0" borderId="7" xfId="0" applyNumberFormat="1" applyFont="1" applyFill="1" applyBorder="1" applyAlignment="1">
      <alignment horizontal="right" vertical="center"/>
    </xf>
    <xf numFmtId="0" fontId="0" fillId="0" borderId="9" xfId="0" applyFill="1" applyBorder="1" applyAlignment="1">
      <alignment vertical="center"/>
    </xf>
    <xf numFmtId="167" fontId="0" fillId="0" borderId="9" xfId="0" applyNumberFormat="1" applyBorder="1" applyAlignment="1">
      <alignment vertical="center"/>
    </xf>
    <xf numFmtId="14" fontId="0" fillId="0" borderId="9" xfId="0" applyNumberFormat="1" applyFont="1" applyFill="1" applyBorder="1" applyAlignment="1">
      <alignment horizontal="right" vertical="center"/>
    </xf>
    <xf numFmtId="0" fontId="0" fillId="0" borderId="11" xfId="0" applyFill="1" applyBorder="1" applyAlignment="1">
      <alignment vertical="center"/>
    </xf>
    <xf numFmtId="171" fontId="0" fillId="0" borderId="11" xfId="1" applyNumberFormat="1" applyFont="1" applyFill="1" applyBorder="1" applyAlignment="1">
      <alignment vertical="center"/>
    </xf>
    <xf numFmtId="169" fontId="0" fillId="0" borderId="11" xfId="1" applyNumberFormat="1" applyFont="1" applyFill="1" applyBorder="1" applyAlignment="1">
      <alignment vertical="center"/>
    </xf>
    <xf numFmtId="9" fontId="0" fillId="0" borderId="11" xfId="2" applyFont="1" applyFill="1" applyBorder="1" applyAlignment="1">
      <alignment vertical="center"/>
    </xf>
    <xf numFmtId="14" fontId="0" fillId="0" borderId="1" xfId="0" applyNumberFormat="1" applyFont="1" applyBorder="1" applyAlignment="1">
      <alignment vertical="center"/>
    </xf>
    <xf numFmtId="172" fontId="0" fillId="0" borderId="0" xfId="1" applyNumberFormat="1" applyFont="1" applyFill="1" applyBorder="1" applyAlignment="1">
      <alignment vertical="center"/>
    </xf>
    <xf numFmtId="168" fontId="0" fillId="0" borderId="0" xfId="3" applyFont="1" applyFill="1" applyBorder="1" applyAlignment="1">
      <alignment vertical="center"/>
    </xf>
    <xf numFmtId="0" fontId="0" fillId="3" borderId="7" xfId="0" applyFill="1" applyBorder="1" applyAlignment="1">
      <alignment vertical="center"/>
    </xf>
    <xf numFmtId="171" fontId="0" fillId="3" borderId="7" xfId="1" applyNumberFormat="1" applyFont="1" applyFill="1" applyBorder="1" applyAlignment="1">
      <alignment vertical="center"/>
    </xf>
    <xf numFmtId="169" fontId="0" fillId="3" borderId="7" xfId="1" applyNumberFormat="1" applyFont="1" applyFill="1" applyBorder="1" applyAlignment="1">
      <alignment vertical="center"/>
    </xf>
    <xf numFmtId="9" fontId="0" fillId="3" borderId="7" xfId="2" applyFont="1" applyFill="1" applyBorder="1" applyAlignment="1">
      <alignment vertical="center"/>
    </xf>
    <xf numFmtId="168" fontId="0" fillId="3" borderId="8" xfId="3" applyFont="1" applyFill="1" applyBorder="1" applyAlignment="1">
      <alignment vertical="center"/>
    </xf>
    <xf numFmtId="168" fontId="0" fillId="3" borderId="7" xfId="3" applyFont="1" applyFill="1" applyBorder="1" applyAlignment="1">
      <alignment vertical="center"/>
    </xf>
    <xf numFmtId="14" fontId="0" fillId="3" borderId="7" xfId="0" applyNumberFormat="1" applyFont="1" applyFill="1" applyBorder="1" applyAlignment="1">
      <alignment horizontal="right" vertical="center"/>
    </xf>
    <xf numFmtId="0" fontId="0" fillId="0" borderId="13" xfId="0" applyBorder="1" applyAlignment="1">
      <alignment horizontal="right" vertical="center"/>
    </xf>
    <xf numFmtId="43" fontId="0" fillId="0" borderId="0" xfId="0" applyNumberFormat="1" applyBorder="1" applyAlignment="1">
      <alignment vertical="center"/>
    </xf>
    <xf numFmtId="0" fontId="0" fillId="0" borderId="14" xfId="0" applyBorder="1" applyAlignment="1">
      <alignment horizontal="right" vertical="center"/>
    </xf>
    <xf numFmtId="43" fontId="0" fillId="0" borderId="5" xfId="0" applyNumberFormat="1" applyBorder="1" applyAlignment="1">
      <alignment vertical="center"/>
    </xf>
    <xf numFmtId="168" fontId="0" fillId="0" borderId="11" xfId="3" applyFont="1" applyBorder="1" applyAlignment="1">
      <alignment vertical="center"/>
    </xf>
    <xf numFmtId="168" fontId="0" fillId="0" borderId="5" xfId="3" applyFont="1" applyBorder="1" applyAlignment="1">
      <alignment vertical="center"/>
    </xf>
    <xf numFmtId="2" fontId="0" fillId="0" borderId="0" xfId="0" applyNumberFormat="1" applyAlignment="1">
      <alignment vertical="center"/>
    </xf>
    <xf numFmtId="0" fontId="2" fillId="0" borderId="1" xfId="0" applyFont="1" applyBorder="1" applyAlignment="1">
      <alignment horizontal="center" vertical="center"/>
    </xf>
    <xf numFmtId="43" fontId="0" fillId="0" borderId="1" xfId="0" applyNumberFormat="1" applyBorder="1" applyAlignment="1">
      <alignment vertical="center"/>
    </xf>
    <xf numFmtId="2" fontId="0" fillId="0" borderId="0" xfId="0" applyNumberFormat="1" applyBorder="1" applyAlignment="1">
      <alignment vertical="center"/>
    </xf>
    <xf numFmtId="2" fontId="0" fillId="0" borderId="5" xfId="0" applyNumberFormat="1" applyBorder="1" applyAlignment="1">
      <alignment vertical="center"/>
    </xf>
    <xf numFmtId="0" fontId="2" fillId="0" borderId="1" xfId="0" applyFont="1" applyBorder="1" applyAlignment="1">
      <alignment horizontal="center" vertical="center"/>
    </xf>
    <xf numFmtId="10" fontId="0" fillId="0" borderId="0" xfId="2" applyNumberFormat="1" applyFont="1" applyFill="1" applyBorder="1" applyAlignment="1">
      <alignment vertical="center"/>
    </xf>
    <xf numFmtId="174" fontId="0" fillId="0" borderId="10" xfId="0" applyNumberFormat="1" applyBorder="1" applyAlignment="1">
      <alignment vertical="center"/>
    </xf>
    <xf numFmtId="174" fontId="0" fillId="0" borderId="0" xfId="3" applyNumberFormat="1" applyFont="1" applyBorder="1" applyAlignment="1">
      <alignment vertical="center"/>
    </xf>
    <xf numFmtId="168" fontId="0" fillId="3" borderId="9" xfId="3" applyFont="1" applyFill="1" applyBorder="1" applyAlignment="1">
      <alignment vertical="center"/>
    </xf>
    <xf numFmtId="0" fontId="2" fillId="0" borderId="1" xfId="0" applyFont="1" applyBorder="1" applyAlignment="1">
      <alignment horizontal="center" vertical="center"/>
    </xf>
    <xf numFmtId="0" fontId="0" fillId="0" borderId="0" xfId="0" applyAlignment="1">
      <alignment horizontal="left" vertical="center"/>
    </xf>
    <xf numFmtId="0" fontId="2" fillId="0" borderId="1" xfId="0" applyFont="1" applyBorder="1" applyAlignment="1">
      <alignment horizontal="center" vertical="center"/>
    </xf>
    <xf numFmtId="10" fontId="0" fillId="0" borderId="0" xfId="2" applyNumberFormat="1" applyFont="1" applyAlignment="1">
      <alignment horizontal="left" vertical="center"/>
    </xf>
    <xf numFmtId="10" fontId="0" fillId="0" borderId="0" xfId="0" applyNumberFormat="1" applyAlignment="1">
      <alignment horizontal="right" vertical="center"/>
    </xf>
    <xf numFmtId="0" fontId="0" fillId="0" borderId="1" xfId="0" applyBorder="1" applyAlignment="1">
      <alignment horizontal="left" vertical="center"/>
    </xf>
    <xf numFmtId="10" fontId="0" fillId="0" borderId="1" xfId="2" applyNumberFormat="1" applyFont="1" applyBorder="1" applyAlignment="1">
      <alignment horizontal="right" vertical="center"/>
    </xf>
    <xf numFmtId="170" fontId="0" fillId="0" borderId="0" xfId="2" applyNumberFormat="1" applyFont="1" applyFill="1" applyAlignment="1">
      <alignment vertical="center"/>
    </xf>
    <xf numFmtId="0" fontId="2" fillId="0" borderId="1" xfId="0" applyFont="1" applyBorder="1" applyAlignment="1">
      <alignment horizontal="center" vertical="center"/>
    </xf>
    <xf numFmtId="164" fontId="0" fillId="0" borderId="0" xfId="0" applyNumberFormat="1" applyAlignment="1">
      <alignment vertical="center"/>
    </xf>
    <xf numFmtId="3" fontId="0" fillId="0" borderId="0" xfId="0" applyNumberFormat="1" applyAlignment="1">
      <alignment vertical="center"/>
    </xf>
    <xf numFmtId="165" fontId="0" fillId="0" borderId="0" xfId="0" applyNumberForma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9" fontId="0" fillId="0" borderId="7" xfId="2" applyFont="1" applyFill="1" applyBorder="1" applyAlignment="1">
      <alignment vertical="center"/>
    </xf>
    <xf numFmtId="168" fontId="0" fillId="0" borderId="7" xfId="3" applyFont="1" applyFill="1" applyBorder="1" applyAlignment="1">
      <alignment vertical="center"/>
    </xf>
    <xf numFmtId="171" fontId="0" fillId="0" borderId="0" xfId="0" applyNumberFormat="1" applyAlignment="1">
      <alignment vertical="center"/>
    </xf>
    <xf numFmtId="171" fontId="0" fillId="3" borderId="9" xfId="1" applyNumberFormat="1" applyFont="1" applyFill="1" applyBorder="1" applyAlignment="1">
      <alignment vertical="center"/>
    </xf>
    <xf numFmtId="14" fontId="0" fillId="3" borderId="1" xfId="0" applyNumberFormat="1" applyFont="1" applyFill="1" applyBorder="1" applyAlignment="1">
      <alignment horizontal="right" vertical="center"/>
    </xf>
    <xf numFmtId="169" fontId="3" fillId="0" borderId="1" xfId="0" applyNumberFormat="1" applyFont="1" applyBorder="1" applyAlignment="1">
      <alignment vertical="center"/>
    </xf>
    <xf numFmtId="9" fontId="0" fillId="3" borderId="0" xfId="2" applyFont="1" applyFill="1" applyAlignment="1">
      <alignment vertical="center"/>
    </xf>
    <xf numFmtId="179" fontId="0" fillId="0" borderId="1" xfId="2" applyNumberFormat="1" applyFont="1" applyBorder="1" applyAlignment="1">
      <alignment horizontal="right" vertical="center"/>
    </xf>
    <xf numFmtId="10" fontId="0" fillId="0" borderId="15" xfId="2" applyNumberFormat="1" applyFont="1" applyFill="1" applyBorder="1" applyAlignment="1">
      <alignment vertical="center"/>
    </xf>
    <xf numFmtId="179" fontId="0" fillId="0" borderId="7" xfId="2" applyNumberFormat="1" applyFont="1" applyBorder="1" applyAlignment="1">
      <alignment horizontal="right" vertical="center"/>
    </xf>
    <xf numFmtId="0" fontId="0" fillId="0" borderId="7" xfId="0" applyFont="1" applyFill="1" applyBorder="1" applyAlignment="1">
      <alignment vertical="center"/>
    </xf>
    <xf numFmtId="0" fontId="0" fillId="0" borderId="7" xfId="0" applyFont="1" applyFill="1" applyBorder="1" applyAlignment="1">
      <alignment horizontal="center" vertical="center"/>
    </xf>
    <xf numFmtId="176" fontId="0" fillId="0" borderId="7" xfId="3" applyNumberFormat="1" applyFont="1" applyFill="1" applyBorder="1" applyAlignment="1">
      <alignment vertical="center"/>
    </xf>
    <xf numFmtId="10" fontId="0" fillId="0" borderId="7" xfId="2" applyNumberFormat="1" applyFont="1" applyFill="1" applyBorder="1" applyAlignment="1">
      <alignment vertical="center"/>
    </xf>
    <xf numFmtId="10" fontId="0" fillId="0" borderId="12" xfId="2" applyNumberFormat="1" applyFont="1" applyFill="1" applyBorder="1" applyAlignment="1">
      <alignment vertical="center"/>
    </xf>
    <xf numFmtId="179" fontId="0" fillId="0" borderId="1" xfId="0" applyNumberFormat="1" applyBorder="1" applyAlignment="1">
      <alignment horizontal="right" vertical="center"/>
    </xf>
    <xf numFmtId="17" fontId="2" fillId="12" borderId="1" xfId="0" applyNumberFormat="1" applyFont="1" applyFill="1" applyBorder="1" applyAlignment="1">
      <alignment vertical="center"/>
    </xf>
    <xf numFmtId="172" fontId="0" fillId="12" borderId="1" xfId="0" applyNumberFormat="1" applyFill="1" applyBorder="1" applyAlignment="1">
      <alignment vertical="center"/>
    </xf>
    <xf numFmtId="9" fontId="0" fillId="12" borderId="1" xfId="2" applyFont="1" applyFill="1" applyBorder="1" applyAlignment="1">
      <alignment vertical="center"/>
    </xf>
    <xf numFmtId="172" fontId="0" fillId="12" borderId="0" xfId="0" applyNumberFormat="1" applyFill="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168" fontId="0" fillId="0" borderId="1" xfId="3" applyFont="1" applyBorder="1" applyAlignment="1">
      <alignment horizontal="right" vertical="center"/>
    </xf>
    <xf numFmtId="168" fontId="0" fillId="0" borderId="7" xfId="3" applyFont="1" applyBorder="1" applyAlignment="1">
      <alignment vertical="center"/>
    </xf>
    <xf numFmtId="168" fontId="0" fillId="0" borderId="7" xfId="3" applyFont="1" applyBorder="1" applyAlignment="1">
      <alignment horizontal="right" vertical="center"/>
    </xf>
    <xf numFmtId="168" fontId="0" fillId="0" borderId="9" xfId="3" applyFont="1" applyBorder="1" applyAlignment="1">
      <alignment vertical="center"/>
    </xf>
    <xf numFmtId="168" fontId="0" fillId="0" borderId="9" xfId="3" applyFont="1" applyBorder="1" applyAlignment="1">
      <alignment horizontal="right" vertical="center"/>
    </xf>
    <xf numFmtId="168" fontId="0" fillId="0" borderId="9" xfId="0" applyNumberFormat="1" applyBorder="1" applyAlignment="1">
      <alignment vertical="center"/>
    </xf>
    <xf numFmtId="168" fontId="0" fillId="0" borderId="11" xfId="3" applyFont="1" applyBorder="1" applyAlignment="1">
      <alignment horizontal="right" vertical="center"/>
    </xf>
    <xf numFmtId="43" fontId="0" fillId="2" borderId="0" xfId="0" applyNumberFormat="1" applyFill="1" applyAlignment="1">
      <alignment vertical="center"/>
    </xf>
    <xf numFmtId="180" fontId="0" fillId="0" borderId="1" xfId="0" applyNumberFormat="1" applyFill="1" applyBorder="1" applyAlignment="1">
      <alignment vertical="center"/>
    </xf>
    <xf numFmtId="170" fontId="4" fillId="2" borderId="1" xfId="2" applyNumberFormat="1" applyFont="1" applyFill="1" applyBorder="1" applyAlignment="1">
      <alignment vertical="center"/>
    </xf>
    <xf numFmtId="0" fontId="2" fillId="0" borderId="1" xfId="0" applyFont="1" applyBorder="1" applyAlignment="1">
      <alignment horizontal="center" vertical="center"/>
    </xf>
    <xf numFmtId="172" fontId="0" fillId="2" borderId="0" xfId="0" applyNumberFormat="1" applyFill="1" applyAlignment="1">
      <alignment vertical="center"/>
    </xf>
    <xf numFmtId="10" fontId="0" fillId="2" borderId="0" xfId="2" applyNumberFormat="1" applyFont="1" applyFill="1" applyAlignment="1">
      <alignment vertical="center"/>
    </xf>
    <xf numFmtId="0" fontId="10" fillId="0" borderId="0" xfId="0" applyFont="1" applyBorder="1" applyAlignment="1">
      <alignment vertical="center"/>
    </xf>
    <xf numFmtId="0" fontId="2" fillId="0" borderId="1" xfId="0" applyFont="1" applyBorder="1" applyAlignment="1">
      <alignment horizontal="center" vertical="center"/>
    </xf>
    <xf numFmtId="10" fontId="0" fillId="0" borderId="0" xfId="0" applyNumberFormat="1" applyAlignment="1">
      <alignment vertical="center"/>
    </xf>
    <xf numFmtId="10" fontId="3" fillId="3" borderId="0" xfId="2" applyNumberFormat="1" applyFont="1" applyFill="1" applyAlignment="1">
      <alignment vertical="center"/>
    </xf>
    <xf numFmtId="0" fontId="0" fillId="0" borderId="1" xfId="0" applyBorder="1" applyAlignment="1">
      <alignment horizontal="center" vertical="center"/>
    </xf>
    <xf numFmtId="0" fontId="10" fillId="0" borderId="1" xfId="0" applyFont="1" applyFill="1" applyBorder="1" applyAlignment="1">
      <alignment vertical="center"/>
    </xf>
    <xf numFmtId="174" fontId="0" fillId="0" borderId="7" xfId="3" applyNumberFormat="1" applyFont="1" applyBorder="1" applyAlignment="1">
      <alignment vertical="center"/>
    </xf>
    <xf numFmtId="0" fontId="0" fillId="0" borderId="0" xfId="0" applyFill="1" applyAlignment="1">
      <alignment horizontal="center" vertical="center"/>
    </xf>
    <xf numFmtId="43" fontId="0" fillId="0" borderId="0" xfId="0" applyNumberFormat="1" applyFill="1" applyAlignment="1">
      <alignment vertical="center"/>
    </xf>
    <xf numFmtId="0" fontId="0" fillId="0" borderId="2" xfId="0" applyBorder="1" applyAlignment="1">
      <alignment horizontal="center" vertical="center"/>
    </xf>
    <xf numFmtId="175" fontId="0" fillId="0" borderId="0" xfId="0" applyNumberFormat="1" applyBorder="1" applyAlignment="1">
      <alignment vertical="center"/>
    </xf>
    <xf numFmtId="0" fontId="6" fillId="0" borderId="13" xfId="0" applyFont="1" applyBorder="1" applyAlignment="1">
      <alignment horizontal="right" vertical="center"/>
    </xf>
    <xf numFmtId="10" fontId="6" fillId="0" borderId="0" xfId="0" applyNumberFormat="1" applyFont="1" applyBorder="1" applyAlignment="1">
      <alignment vertical="center"/>
    </xf>
    <xf numFmtId="175" fontId="6" fillId="0" borderId="0" xfId="0" applyNumberFormat="1" applyFont="1" applyBorder="1" applyAlignment="1">
      <alignment vertical="center"/>
    </xf>
    <xf numFmtId="0" fontId="0" fillId="0" borderId="0" xfId="0" applyBorder="1" applyAlignment="1">
      <alignment horizontal="center" vertical="center"/>
    </xf>
    <xf numFmtId="10" fontId="6" fillId="0" borderId="0" xfId="2" applyNumberFormat="1" applyFont="1" applyBorder="1" applyAlignment="1">
      <alignment vertical="center"/>
    </xf>
    <xf numFmtId="0" fontId="6" fillId="0" borderId="14" xfId="0" applyFont="1" applyBorder="1" applyAlignment="1">
      <alignment horizontal="right" vertical="center"/>
    </xf>
    <xf numFmtId="10" fontId="6" fillId="0" borderId="5" xfId="2" applyNumberFormat="1" applyFont="1" applyBorder="1" applyAlignment="1">
      <alignment vertical="center"/>
    </xf>
    <xf numFmtId="175" fontId="6" fillId="0" borderId="5" xfId="0" applyNumberFormat="1" applyFont="1" applyBorder="1" applyAlignment="1">
      <alignment vertical="center"/>
    </xf>
    <xf numFmtId="0" fontId="0" fillId="0" borderId="5" xfId="0" applyBorder="1" applyAlignment="1">
      <alignment horizontal="center" vertical="center"/>
    </xf>
    <xf numFmtId="174" fontId="0" fillId="0" borderId="5" xfId="3" applyNumberFormat="1" applyFont="1" applyBorder="1" applyAlignment="1">
      <alignment vertical="center"/>
    </xf>
    <xf numFmtId="175" fontId="0" fillId="0" borderId="5" xfId="0" applyNumberFormat="1" applyBorder="1" applyAlignment="1">
      <alignment vertical="center"/>
    </xf>
    <xf numFmtId="10" fontId="0" fillId="0" borderId="5" xfId="0" applyNumberFormat="1" applyBorder="1" applyAlignment="1">
      <alignment vertical="center"/>
    </xf>
    <xf numFmtId="174" fontId="0" fillId="0" borderId="5" xfId="0" applyNumberFormat="1" applyBorder="1" applyAlignment="1">
      <alignment vertical="center"/>
    </xf>
    <xf numFmtId="10" fontId="0" fillId="0" borderId="2" xfId="0" applyNumberFormat="1" applyBorder="1" applyAlignment="1">
      <alignment vertical="center"/>
    </xf>
    <xf numFmtId="175" fontId="0" fillId="0" borderId="2" xfId="0" applyNumberFormat="1" applyBorder="1" applyAlignment="1">
      <alignment vertical="center"/>
    </xf>
    <xf numFmtId="10" fontId="6" fillId="0" borderId="5" xfId="0" applyNumberFormat="1" applyFont="1" applyBorder="1" applyAlignment="1">
      <alignment vertical="center"/>
    </xf>
    <xf numFmtId="0" fontId="2" fillId="0" borderId="15" xfId="0" applyFont="1" applyBorder="1" applyAlignment="1">
      <alignment vertical="center"/>
    </xf>
    <xf numFmtId="180" fontId="0" fillId="2" borderId="15" xfId="0" applyNumberFormat="1" applyFill="1" applyBorder="1" applyAlignment="1">
      <alignment vertical="center"/>
    </xf>
    <xf numFmtId="180" fontId="0" fillId="2" borderId="15" xfId="3" applyNumberFormat="1" applyFont="1" applyFill="1" applyBorder="1" applyAlignment="1">
      <alignment vertical="center"/>
    </xf>
    <xf numFmtId="174" fontId="0" fillId="0" borderId="1" xfId="3" applyNumberFormat="1" applyFont="1" applyFill="1" applyBorder="1" applyAlignment="1">
      <alignment vertical="center"/>
    </xf>
    <xf numFmtId="174" fontId="0" fillId="2" borderId="5" xfId="3" applyNumberFormat="1" applyFont="1" applyFill="1" applyBorder="1" applyAlignment="1">
      <alignment vertic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0" fillId="9" borderId="4" xfId="0" applyFont="1" applyFill="1" applyBorder="1" applyAlignment="1">
      <alignment horizontal="center" vertical="center"/>
    </xf>
    <xf numFmtId="0" fontId="4" fillId="9" borderId="0" xfId="0" applyFont="1" applyFill="1" applyBorder="1" applyAlignment="1">
      <alignment vertical="center"/>
    </xf>
    <xf numFmtId="174" fontId="0" fillId="9" borderId="13" xfId="3" applyNumberFormat="1" applyFont="1" applyFill="1" applyBorder="1" applyAlignment="1">
      <alignment vertical="center"/>
    </xf>
    <xf numFmtId="0" fontId="0" fillId="0" borderId="1" xfId="0" applyFont="1" applyBorder="1" applyAlignment="1">
      <alignment horizontal="center" vertical="center"/>
    </xf>
    <xf numFmtId="0" fontId="0" fillId="0" borderId="1" xfId="0" applyFont="1" applyBorder="1" applyAlignment="1">
      <alignment horizontal="left" vertical="center"/>
    </xf>
    <xf numFmtId="174" fontId="0" fillId="0" borderId="1" xfId="3" applyNumberFormat="1" applyFont="1" applyBorder="1" applyAlignment="1">
      <alignment horizontal="right" vertical="center"/>
    </xf>
    <xf numFmtId="166" fontId="0" fillId="0" borderId="1" xfId="1" applyFont="1" applyBorder="1" applyAlignment="1">
      <alignment horizontal="right" vertical="center"/>
    </xf>
    <xf numFmtId="0" fontId="4" fillId="9" borderId="1" xfId="0" applyFont="1" applyFill="1" applyBorder="1" applyAlignment="1">
      <alignment horizontal="left" vertical="center"/>
    </xf>
    <xf numFmtId="174" fontId="0" fillId="9" borderId="1" xfId="3" applyNumberFormat="1" applyFont="1" applyFill="1" applyBorder="1" applyAlignment="1">
      <alignment horizontal="right" vertical="center"/>
    </xf>
    <xf numFmtId="174" fontId="3" fillId="0" borderId="1" xfId="3" applyNumberFormat="1" applyFont="1" applyBorder="1" applyAlignment="1">
      <alignment horizontal="right" vertical="center"/>
    </xf>
    <xf numFmtId="174" fontId="3" fillId="9" borderId="1" xfId="3" applyNumberFormat="1" applyFont="1" applyFill="1" applyBorder="1" applyAlignment="1">
      <alignment horizontal="right" vertical="center"/>
    </xf>
    <xf numFmtId="174" fontId="0" fillId="4" borderId="1" xfId="3" applyNumberFormat="1" applyFont="1" applyFill="1" applyBorder="1" applyAlignment="1">
      <alignment vertical="center"/>
    </xf>
    <xf numFmtId="10" fontId="0" fillId="3" borderId="13" xfId="0" applyNumberFormat="1" applyFill="1" applyBorder="1" applyAlignment="1">
      <alignment vertical="center"/>
    </xf>
    <xf numFmtId="10" fontId="0" fillId="0" borderId="14" xfId="0" applyNumberFormat="1" applyFill="1" applyBorder="1" applyAlignment="1">
      <alignment vertical="center"/>
    </xf>
    <xf numFmtId="10" fontId="0" fillId="0" borderId="6" xfId="2" applyNumberFormat="1" applyFont="1" applyBorder="1" applyAlignment="1">
      <alignment vertical="center"/>
    </xf>
    <xf numFmtId="174" fontId="0" fillId="3" borderId="4" xfId="3" applyNumberFormat="1" applyFont="1" applyFill="1" applyBorder="1" applyAlignment="1">
      <alignment horizontal="left" vertical="center"/>
    </xf>
    <xf numFmtId="166" fontId="0" fillId="0" borderId="6" xfId="0" applyNumberFormat="1" applyFill="1" applyBorder="1" applyAlignment="1">
      <alignment horizontal="right" vertical="center"/>
    </xf>
    <xf numFmtId="169" fontId="2" fillId="4" borderId="1" xfId="1" applyNumberFormat="1" applyFont="1" applyFill="1" applyBorder="1" applyAlignment="1">
      <alignment vertical="center"/>
    </xf>
    <xf numFmtId="174" fontId="0" fillId="3" borderId="0" xfId="3" applyNumberFormat="1" applyFont="1" applyFill="1" applyAlignment="1">
      <alignment vertical="center"/>
    </xf>
    <xf numFmtId="10" fontId="0" fillId="3" borderId="0" xfId="2" applyNumberFormat="1" applyFont="1" applyFill="1" applyAlignment="1">
      <alignment vertical="center"/>
    </xf>
    <xf numFmtId="10" fontId="0" fillId="13" borderId="6" xfId="2" applyNumberFormat="1" applyFont="1" applyFill="1" applyBorder="1" applyAlignment="1">
      <alignment vertical="center"/>
    </xf>
    <xf numFmtId="174" fontId="11" fillId="0" borderId="0" xfId="3" applyNumberFormat="1" applyFont="1" applyFill="1" applyBorder="1" applyAlignment="1">
      <alignment vertical="center"/>
    </xf>
    <xf numFmtId="175" fontId="0" fillId="3" borderId="0" xfId="0" applyNumberFormat="1" applyFill="1" applyAlignment="1">
      <alignment vertical="center"/>
    </xf>
    <xf numFmtId="175" fontId="0" fillId="3" borderId="0" xfId="3" applyNumberFormat="1" applyFont="1" applyFill="1" applyAlignment="1">
      <alignment vertical="center"/>
    </xf>
    <xf numFmtId="175" fontId="0" fillId="0" borderId="0" xfId="0" applyNumberFormat="1" applyFill="1" applyBorder="1" applyAlignment="1">
      <alignment vertical="center"/>
    </xf>
    <xf numFmtId="174" fontId="0" fillId="0" borderId="2" xfId="0" applyNumberFormat="1" applyBorder="1" applyAlignment="1">
      <alignment vertical="center"/>
    </xf>
    <xf numFmtId="172" fontId="0" fillId="0" borderId="0" xfId="1" applyNumberFormat="1" applyFont="1" applyFill="1" applyAlignment="1">
      <alignment vertical="center"/>
    </xf>
    <xf numFmtId="172" fontId="0" fillId="3" borderId="0" xfId="0" applyNumberFormat="1" applyFont="1" applyFill="1" applyBorder="1" applyAlignment="1">
      <alignment vertical="center"/>
    </xf>
    <xf numFmtId="181" fontId="0" fillId="0" borderId="1" xfId="0" applyNumberFormat="1" applyBorder="1" applyAlignment="1">
      <alignment vertical="center"/>
    </xf>
    <xf numFmtId="9" fontId="3" fillId="0" borderId="0" xfId="2" applyFont="1" applyAlignment="1">
      <alignment vertical="center"/>
    </xf>
    <xf numFmtId="172" fontId="18" fillId="0" borderId="7" xfId="0" applyNumberFormat="1" applyFont="1" applyBorder="1" applyAlignment="1">
      <alignment vertical="center"/>
    </xf>
    <xf numFmtId="0" fontId="2" fillId="0" borderId="1" xfId="0" applyFont="1" applyBorder="1" applyAlignment="1">
      <alignment horizontal="center" vertical="center"/>
    </xf>
    <xf numFmtId="166" fontId="19" fillId="0" borderId="0" xfId="0" applyNumberFormat="1" applyFont="1" applyAlignment="1">
      <alignment vertical="center"/>
    </xf>
    <xf numFmtId="0" fontId="20" fillId="0" borderId="0" xfId="0" applyFont="1" applyAlignment="1">
      <alignment vertical="center"/>
    </xf>
    <xf numFmtId="9" fontId="9" fillId="0" borderId="1" xfId="2" applyFont="1" applyBorder="1" applyAlignment="1">
      <alignment vertical="center"/>
    </xf>
    <xf numFmtId="9" fontId="21" fillId="0" borderId="1" xfId="2" applyFont="1" applyBorder="1" applyAlignment="1">
      <alignment vertical="center"/>
    </xf>
    <xf numFmtId="10" fontId="0" fillId="14" borderId="6" xfId="2" applyNumberFormat="1" applyFont="1" applyFill="1" applyBorder="1" applyAlignment="1">
      <alignment vertical="center"/>
    </xf>
    <xf numFmtId="0" fontId="0" fillId="0" borderId="4" xfId="0" applyBorder="1" applyAlignment="1">
      <alignment horizontal="right" vertical="center"/>
    </xf>
    <xf numFmtId="172" fontId="0" fillId="0" borderId="1" xfId="3" applyNumberFormat="1" applyFont="1" applyBorder="1" applyAlignment="1">
      <alignment vertical="center"/>
    </xf>
    <xf numFmtId="172" fontId="0" fillId="0" borderId="1" xfId="3" applyNumberFormat="1" applyFont="1" applyBorder="1" applyAlignment="1">
      <alignment horizontal="right" vertical="center"/>
    </xf>
    <xf numFmtId="172" fontId="0" fillId="0" borderId="1" xfId="0" applyNumberFormat="1" applyBorder="1" applyAlignment="1">
      <alignment horizontal="right" vertical="center"/>
    </xf>
    <xf numFmtId="172" fontId="2" fillId="0" borderId="1" xfId="0" applyNumberFormat="1" applyFont="1" applyBorder="1" applyAlignment="1">
      <alignment horizontal="right" vertical="center"/>
    </xf>
    <xf numFmtId="172" fontId="21" fillId="0" borderId="1" xfId="3" applyNumberFormat="1" applyFont="1" applyBorder="1" applyAlignment="1">
      <alignment vertical="center"/>
    </xf>
    <xf numFmtId="172" fontId="9" fillId="0" borderId="1" xfId="3" applyNumberFormat="1" applyFont="1" applyBorder="1" applyAlignment="1">
      <alignment vertical="center"/>
    </xf>
    <xf numFmtId="172" fontId="0" fillId="2" borderId="1" xfId="3" applyNumberFormat="1" applyFont="1" applyFill="1" applyBorder="1" applyAlignment="1">
      <alignment vertical="center"/>
    </xf>
    <xf numFmtId="9" fontId="3" fillId="0" borderId="1" xfId="2" applyFont="1" applyBorder="1" applyAlignment="1">
      <alignment vertical="center"/>
    </xf>
    <xf numFmtId="0" fontId="2" fillId="0" borderId="1" xfId="0" applyFont="1" applyBorder="1" applyAlignment="1">
      <alignment horizontal="center" vertical="center"/>
    </xf>
    <xf numFmtId="172" fontId="3" fillId="0" borderId="1" xfId="3" applyNumberFormat="1" applyFont="1" applyBorder="1" applyAlignment="1">
      <alignment vertical="center"/>
    </xf>
    <xf numFmtId="172" fontId="4" fillId="15" borderId="1" xfId="3" applyNumberFormat="1" applyFont="1" applyFill="1" applyBorder="1" applyAlignment="1">
      <alignment vertical="center"/>
    </xf>
    <xf numFmtId="168" fontId="4" fillId="0" borderId="15" xfId="3" applyFont="1" applyFill="1" applyBorder="1" applyAlignment="1">
      <alignment vertical="center"/>
    </xf>
    <xf numFmtId="168" fontId="0" fillId="0" borderId="15" xfId="3" applyFont="1" applyBorder="1" applyAlignment="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2" fillId="0" borderId="15"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0" fillId="0" borderId="15" xfId="0" applyBorder="1" applyAlignment="1">
      <alignment horizontal="left" vertical="center"/>
    </xf>
    <xf numFmtId="0" fontId="0" fillId="0" borderId="10" xfId="0" applyBorder="1" applyAlignment="1">
      <alignment horizontal="left" vertical="center"/>
    </xf>
    <xf numFmtId="0" fontId="2" fillId="0" borderId="0" xfId="0" applyFont="1" applyFill="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center" vertical="center"/>
    </xf>
    <xf numFmtId="0" fontId="16" fillId="0" borderId="7" xfId="0" applyFont="1" applyBorder="1" applyAlignment="1">
      <alignment horizontal="center" vertical="center"/>
    </xf>
    <xf numFmtId="0" fontId="16" fillId="0" borderId="9" xfId="0" applyFont="1" applyBorder="1" applyAlignment="1">
      <alignment horizontal="center" vertical="center"/>
    </xf>
    <xf numFmtId="0" fontId="2" fillId="0" borderId="1" xfId="0" applyFont="1" applyBorder="1" applyAlignment="1">
      <alignment horizontal="center"/>
    </xf>
    <xf numFmtId="0" fontId="0" fillId="0" borderId="1" xfId="0" applyBorder="1" applyAlignment="1">
      <alignment horizontal="center" vertical="center"/>
    </xf>
    <xf numFmtId="0" fontId="0" fillId="0" borderId="0" xfId="0" applyAlignment="1">
      <alignment horizontal="left" vertical="center"/>
    </xf>
  </cellXfs>
  <cellStyles count="4">
    <cellStyle name="Comma" xfId="3" builtinId="3"/>
    <cellStyle name="Comma [0]" xfId="1" builtinId="6"/>
    <cellStyle name="Normal" xfId="0" builtinId="0"/>
    <cellStyle name="Percent" xfId="2" builtinId="5"/>
  </cellStyles>
  <dxfs count="165">
    <dxf>
      <numFmt numFmtId="19" formatCode="yyyy/m/d"/>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numFmt numFmtId="19" formatCode="yyyy/m/d"/>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numFmt numFmtId="19" formatCode="yyyy/m/d"/>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1" formatCode="_-* #,##0.00_-;\-* #,##0.0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0.0%"/>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ill>
        <patternFill patternType="solid">
          <fgColor indexed="64"/>
          <bgColor rgb="FFFFFF00"/>
        </patternFill>
      </fill>
      <alignment horizontal="center" vertical="center" textRotation="0" wrapText="0" indent="0" justifyLastLine="0" shrinkToFit="0" readingOrder="0"/>
      <border diagonalUp="0" diagonalDown="0" outline="0">
        <left/>
        <right/>
        <top/>
        <bottom/>
      </border>
    </dxf>
    <dxf>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ill>
        <patternFill patternType="solid">
          <fgColor indexed="64"/>
          <bgColor rgb="FFFFFF0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6" formatCode="0.00_ ;[Red]\-0.00\ "/>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6" formatCode="0.00_ ;[Red]\-0.00\ "/>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9" formatCode="dd/mm/yyyy"/>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74" formatCode="_(* #,##0_);_(* \(#,##0\);_(* &quot;-&quot;??_);_(@_)"/>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theme="4" tint="0.39997558519241921"/>
        </top>
      </border>
    </dxf>
    <dxf>
      <border outline="0">
        <left style="thin">
          <color indexed="64"/>
        </left>
        <right style="thin">
          <color indexed="64"/>
        </right>
        <top style="thin">
          <color indexed="64"/>
        </top>
        <bottom style="thin">
          <color theme="4" tint="0.39997558519241921"/>
        </bottom>
      </border>
    </dxf>
    <dxf>
      <border outline="0">
        <bottom style="thin">
          <color indexed="64"/>
        </bottom>
      </border>
    </dxf>
    <dxf>
      <numFmt numFmtId="19" formatCode="yyyy/m/d"/>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numFmt numFmtId="180" formatCode="m/d/yyyy"/>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9" formatCode="yyyy/m/d"/>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numFmt numFmtId="180" formatCode="m/d/yyyy"/>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9" formatCode="yyyy/m/d"/>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numFmt numFmtId="180" formatCode="m/d/yyyy"/>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71" formatCode="_-* #,##0.00_-;\-* #,##0.0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0.0%"/>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0.0%"/>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2" formatCode="#,##0_ ;[Red]\-#,##0\ "/>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9" formatCode="#,##0.00_ ;[Red]\-#,##0.00\ "/>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center" vertical="center" textRotation="0" wrapText="0" indent="0" justifyLastLine="0" shrinkToFit="0" readingOrder="0"/>
      <border diagonalUp="0" diagonalDown="0" outline="0">
        <left/>
        <right/>
        <top/>
        <bottom/>
      </border>
    </dxf>
    <dxf>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border diagonalUp="0" diagonalDown="0" outline="0">
        <left/>
        <right/>
        <top/>
        <bottom/>
      </border>
    </dxf>
    <dxf>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center" vertical="center" textRotation="0" wrapText="0" indent="0" justifyLastLine="0" shrinkToFit="0" readingOrder="0"/>
      <border diagonalUp="0" diagonalDown="0" outline="0">
        <left/>
        <right/>
        <top/>
        <bottom/>
      </border>
    </dxf>
    <dxf>
      <fill>
        <patternFill patternType="solid">
          <fgColor indexed="64"/>
          <bgColor rgb="FF92D05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numFmt numFmtId="180" formatCode="m/d/yyyy"/>
      <fill>
        <patternFill patternType="solid">
          <fgColor rgb="FF000000"/>
          <bgColor rgb="FFFFFF00"/>
        </patternFill>
      </fill>
      <alignment horizontal="general"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70" formatCode="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80" formatCode="m/d/yyyy"/>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4"/>
        <name val="Calibri"/>
        <family val="2"/>
        <scheme val="minor"/>
      </font>
      <numFmt numFmtId="170" formatCode="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4"/>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9" formatCode="#,##0.00_ ;[Red]\-#,##0.00\ "/>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strike val="0"/>
        <outline val="0"/>
        <shadow val="0"/>
        <u val="none"/>
        <vertAlign val="baseline"/>
        <sz val="11"/>
        <color auto="1"/>
        <name val="Calibri"/>
        <family val="2"/>
        <scheme val="minor"/>
      </font>
      <fill>
        <patternFill patternType="solid">
          <fgColor indexed="64"/>
          <bgColor theme="0"/>
        </patternFill>
      </fill>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74" formatCode="_(* #,##0_);_(* \(#,##0\);_(* &quot;-&quot;??_);_(@_)"/>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theme="4" tint="0.39997558519241921"/>
        </top>
      </border>
    </dxf>
    <dxf>
      <border outline="0">
        <left style="thin">
          <color indexed="64"/>
        </left>
        <right style="thin">
          <color indexed="64"/>
        </right>
        <top style="thin">
          <color indexed="64"/>
        </top>
        <bottom style="thin">
          <color theme="4" tint="0.39997558519241921"/>
        </bottom>
      </border>
    </dxf>
    <dxf>
      <border outline="0">
        <bottom style="thin">
          <color indexed="64"/>
        </bottom>
      </border>
    </dxf>
    <dxf>
      <font>
        <b val="0"/>
        <i val="0"/>
        <strike val="0"/>
        <condense val="0"/>
        <extend val="0"/>
        <outline val="0"/>
        <shadow val="0"/>
        <u val="none"/>
        <vertAlign val="baseline"/>
        <sz val="11"/>
        <color theme="1"/>
        <name val="Calibri"/>
        <family val="2"/>
        <scheme val="minor"/>
      </font>
      <numFmt numFmtId="170" formatCode="0.0%"/>
      <alignment horizontal="general"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Calibri"/>
        <family val="2"/>
        <scheme val="minor"/>
      </font>
      <numFmt numFmtId="174" formatCode="_(* #,##0_);_(* \(#,##0\);_(* &quot;-&quot;??_);_(@_)"/>
      <alignment horizontal="general"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74" formatCode="_(* #,##0_);_(* \(#,##0\);_(* &quot;-&quot;??_);_(@_)"/>
      <alignment horizontal="general"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C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C00000"/>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80" formatCode="m/d/yyyy"/>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80" formatCode="m/d/yyyy"/>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80" formatCode="m/d/yyyy"/>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0" formatCode="0.0%"/>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9" formatCode="#,##0.00_ ;[Red]\-#,##0.00\ "/>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 #,##0_-;\-* #,##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92D05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numFmt numFmtId="180" formatCode="m/d/yyyy"/>
      <fill>
        <patternFill patternType="solid">
          <fgColor indexed="64"/>
          <bgColor rgb="FFFFFF00"/>
        </patternFill>
      </fill>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74" formatCode="_(* #,##0_);_(* \(#,##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70" formatCode="0.0%"/>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70" formatCode="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80" formatCode="m/d/yyyy"/>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4"/>
        <name val="Calibri"/>
        <family val="2"/>
        <scheme val="minor"/>
      </font>
      <numFmt numFmtId="170" formatCode="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4"/>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9" formatCode="#,##0.00_ ;[Red]\-#,##0.00\ "/>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 #,##0_-;\-* #,##0_-;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1" formatCode="_-* #,##0.00_-;\-* #,##0.00_-;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theme="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ichStyles" Target="richData/richStyl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microsoft.com/office/2017/06/relationships/rdSupportingPropertyBag" Target="richData/rdsupporting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SupportingPropertyBagStructure" Target="richData/rdsupportingpropertybagstructur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SG Portfolio</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'Overall Summary'!$C$12</c:f>
              <c:strCache>
                <c:ptCount val="1"/>
                <c:pt idx="0">
                  <c:v>Regular Trade</c:v>
                </c:pt>
              </c:strCache>
            </c:strRef>
          </c:tx>
          <c:spPr>
            <a:ln w="28575" cap="rnd">
              <a:solidFill>
                <a:schemeClr val="accent2"/>
              </a:solidFill>
              <a:round/>
            </a:ln>
            <a:effectLst/>
          </c:spPr>
          <c:marker>
            <c:symbol val="none"/>
          </c:marker>
          <c:cat>
            <c:numRef>
              <c:f>'Overall Summary'!$D$11:$Z$11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Summary'!$D$12:$Z$12</c:f>
              <c:numCache>
                <c:formatCode>#,##0_ ;[Red]\-#,##0\ </c:formatCode>
                <c:ptCount val="23"/>
                <c:pt idx="0">
                  <c:v>51.019999999999968</c:v>
                </c:pt>
                <c:pt idx="1">
                  <c:v>211.59999999999985</c:v>
                </c:pt>
                <c:pt idx="2">
                  <c:v>221.24000000000009</c:v>
                </c:pt>
                <c:pt idx="3">
                  <c:v>335.9443984476066</c:v>
                </c:pt>
                <c:pt idx="4">
                  <c:v>177.16830530401052</c:v>
                </c:pt>
                <c:pt idx="5">
                  <c:v>1068.3600000000001</c:v>
                </c:pt>
                <c:pt idx="6">
                  <c:v>113.3600000000001</c:v>
                </c:pt>
                <c:pt idx="7">
                  <c:v>232.2399999999999</c:v>
                </c:pt>
                <c:pt idx="8">
                  <c:v>1035.7615384615387</c:v>
                </c:pt>
                <c:pt idx="9">
                  <c:v>165.62000000000006</c:v>
                </c:pt>
                <c:pt idx="10">
                  <c:v>626.22229487179436</c:v>
                </c:pt>
                <c:pt idx="11">
                  <c:v>-358.88</c:v>
                </c:pt>
                <c:pt idx="12">
                  <c:v>1253.0700000000074</c:v>
                </c:pt>
                <c:pt idx="13">
                  <c:v>1698.9099999999985</c:v>
                </c:pt>
                <c:pt idx="14">
                  <c:v>1028.6517846153858</c:v>
                </c:pt>
                <c:pt idx="15">
                  <c:v>1944.5399999999972</c:v>
                </c:pt>
                <c:pt idx="16">
                  <c:v>3176.4299999999971</c:v>
                </c:pt>
                <c:pt idx="17">
                  <c:v>-4689.4894871794959</c:v>
                </c:pt>
                <c:pt idx="18">
                  <c:v>179.57999999999913</c:v>
                </c:pt>
                <c:pt idx="19">
                  <c:v>835.3245143745122</c:v>
                </c:pt>
                <c:pt idx="20">
                  <c:v>524.05999999999972</c:v>
                </c:pt>
                <c:pt idx="21">
                  <c:v>561.47769230769313</c:v>
                </c:pt>
                <c:pt idx="22">
                  <c:v>-4311.150521700526</c:v>
                </c:pt>
              </c:numCache>
            </c:numRef>
          </c:val>
          <c:smooth val="0"/>
          <c:extLst>
            <c:ext xmlns:c16="http://schemas.microsoft.com/office/drawing/2014/chart" uri="{C3380CC4-5D6E-409C-BE32-E72D297353CC}">
              <c16:uniqueId val="{00000000-C562-4F24-958B-0A15FE43888E}"/>
            </c:ext>
          </c:extLst>
        </c:ser>
        <c:ser>
          <c:idx val="1"/>
          <c:order val="1"/>
          <c:tx>
            <c:strRef>
              <c:f>'Overall Summary'!$C$13</c:f>
              <c:strCache>
                <c:ptCount val="1"/>
                <c:pt idx="0">
                  <c:v>Day Trade</c:v>
                </c:pt>
              </c:strCache>
            </c:strRef>
          </c:tx>
          <c:spPr>
            <a:ln w="28575" cap="rnd">
              <a:solidFill>
                <a:schemeClr val="accent4"/>
              </a:solidFill>
              <a:round/>
            </a:ln>
            <a:effectLst/>
          </c:spPr>
          <c:marker>
            <c:symbol val="none"/>
          </c:marker>
          <c:cat>
            <c:numRef>
              <c:f>'Overall Summary'!$D$11:$Z$11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Summary'!$D$13:$Z$13</c:f>
              <c:numCache>
                <c:formatCode>#,##0_ ;[Red]\-#,##0\ </c:formatCode>
                <c:ptCount val="23"/>
                <c:pt idx="0">
                  <c:v>0</c:v>
                </c:pt>
                <c:pt idx="1">
                  <c:v>0</c:v>
                </c:pt>
                <c:pt idx="2">
                  <c:v>0</c:v>
                </c:pt>
                <c:pt idx="3">
                  <c:v>0</c:v>
                </c:pt>
                <c:pt idx="4">
                  <c:v>0</c:v>
                </c:pt>
                <c:pt idx="5">
                  <c:v>0</c:v>
                </c:pt>
                <c:pt idx="6">
                  <c:v>0</c:v>
                </c:pt>
                <c:pt idx="7">
                  <c:v>0</c:v>
                </c:pt>
                <c:pt idx="8">
                  <c:v>0</c:v>
                </c:pt>
                <c:pt idx="9">
                  <c:v>0</c:v>
                </c:pt>
                <c:pt idx="10">
                  <c:v>-1148.4440999999892</c:v>
                </c:pt>
                <c:pt idx="11">
                  <c:v>0</c:v>
                </c:pt>
                <c:pt idx="12">
                  <c:v>1503.7199999999943</c:v>
                </c:pt>
                <c:pt idx="13">
                  <c:v>331.24000000000535</c:v>
                </c:pt>
                <c:pt idx="14">
                  <c:v>-56.759999999999877</c:v>
                </c:pt>
                <c:pt idx="15">
                  <c:v>0</c:v>
                </c:pt>
                <c:pt idx="16">
                  <c:v>913.13999999999942</c:v>
                </c:pt>
                <c:pt idx="17">
                  <c:v>198.09999999999442</c:v>
                </c:pt>
                <c:pt idx="18">
                  <c:v>113.23999999999899</c:v>
                </c:pt>
                <c:pt idx="19">
                  <c:v>0</c:v>
                </c:pt>
                <c:pt idx="20">
                  <c:v>0</c:v>
                </c:pt>
                <c:pt idx="21">
                  <c:v>76.839999999999975</c:v>
                </c:pt>
                <c:pt idx="22">
                  <c:v>-1349.2927263099109</c:v>
                </c:pt>
              </c:numCache>
            </c:numRef>
          </c:val>
          <c:smooth val="0"/>
          <c:extLst>
            <c:ext xmlns:c16="http://schemas.microsoft.com/office/drawing/2014/chart" uri="{C3380CC4-5D6E-409C-BE32-E72D297353CC}">
              <c16:uniqueId val="{00000001-C562-4F24-958B-0A15FE43888E}"/>
            </c:ext>
          </c:extLst>
        </c:ser>
        <c:ser>
          <c:idx val="2"/>
          <c:order val="2"/>
          <c:tx>
            <c:strRef>
              <c:f>'Overall Summary'!$C$14</c:f>
              <c:strCache>
                <c:ptCount val="1"/>
                <c:pt idx="0">
                  <c:v>Sub-total</c:v>
                </c:pt>
              </c:strCache>
            </c:strRef>
          </c:tx>
          <c:spPr>
            <a:ln w="28575" cap="rnd">
              <a:solidFill>
                <a:schemeClr val="accent6"/>
              </a:solidFill>
              <a:round/>
            </a:ln>
            <a:effectLst/>
          </c:spPr>
          <c:marker>
            <c:symbol val="none"/>
          </c:marker>
          <c:cat>
            <c:numRef>
              <c:f>'Overall Summary'!$D$11:$Z$11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Summary'!$D$14:$Z$14</c:f>
              <c:numCache>
                <c:formatCode>#,##0_ ;[Red]\-#,##0\ </c:formatCode>
                <c:ptCount val="23"/>
                <c:pt idx="0">
                  <c:v>51.019999999999968</c:v>
                </c:pt>
                <c:pt idx="1">
                  <c:v>211.59999999999985</c:v>
                </c:pt>
                <c:pt idx="2">
                  <c:v>221.24000000000009</c:v>
                </c:pt>
                <c:pt idx="3">
                  <c:v>335.9443984476066</c:v>
                </c:pt>
                <c:pt idx="4">
                  <c:v>177.16830530401052</c:v>
                </c:pt>
                <c:pt idx="5">
                  <c:v>1068.3600000000001</c:v>
                </c:pt>
                <c:pt idx="6">
                  <c:v>113.3600000000001</c:v>
                </c:pt>
                <c:pt idx="7">
                  <c:v>232.2399999999999</c:v>
                </c:pt>
                <c:pt idx="8">
                  <c:v>1035.7615384615387</c:v>
                </c:pt>
                <c:pt idx="9">
                  <c:v>165.62000000000006</c:v>
                </c:pt>
                <c:pt idx="10">
                  <c:v>-522.22180512819489</c:v>
                </c:pt>
                <c:pt idx="11">
                  <c:v>-358.88</c:v>
                </c:pt>
                <c:pt idx="12">
                  <c:v>2756.7900000000018</c:v>
                </c:pt>
                <c:pt idx="13">
                  <c:v>2030.1500000000037</c:v>
                </c:pt>
                <c:pt idx="14">
                  <c:v>971.89178461538597</c:v>
                </c:pt>
                <c:pt idx="15">
                  <c:v>1944.5399999999972</c:v>
                </c:pt>
                <c:pt idx="16">
                  <c:v>4089.5699999999965</c:v>
                </c:pt>
                <c:pt idx="17">
                  <c:v>-4491.3894871795019</c:v>
                </c:pt>
                <c:pt idx="18">
                  <c:v>292.81999999999812</c:v>
                </c:pt>
                <c:pt idx="19">
                  <c:v>835.3245143745122</c:v>
                </c:pt>
                <c:pt idx="20">
                  <c:v>524.05999999999972</c:v>
                </c:pt>
                <c:pt idx="21">
                  <c:v>638.31769230769305</c:v>
                </c:pt>
                <c:pt idx="22">
                  <c:v>-5660.4432480104369</c:v>
                </c:pt>
              </c:numCache>
            </c:numRef>
          </c:val>
          <c:smooth val="0"/>
          <c:extLst>
            <c:ext xmlns:c16="http://schemas.microsoft.com/office/drawing/2014/chart" uri="{C3380CC4-5D6E-409C-BE32-E72D297353CC}">
              <c16:uniqueId val="{00000002-C562-4F24-958B-0A15FE43888E}"/>
            </c:ext>
          </c:extLst>
        </c:ser>
        <c:dLbls>
          <c:showLegendKey val="0"/>
          <c:showVal val="0"/>
          <c:showCatName val="0"/>
          <c:showSerName val="0"/>
          <c:showPercent val="0"/>
          <c:showBubbleSize val="0"/>
        </c:dLbls>
        <c:smooth val="0"/>
        <c:axId val="487678080"/>
        <c:axId val="487678496"/>
      </c:lineChart>
      <c:dateAx>
        <c:axId val="48767808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496"/>
        <c:crosses val="autoZero"/>
        <c:auto val="1"/>
        <c:lblOffset val="100"/>
        <c:baseTimeUnit val="months"/>
      </c:dateAx>
      <c:valAx>
        <c:axId val="487678496"/>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FUTU Portfolio</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'Overall Summary'!$C$15</c:f>
              <c:strCache>
                <c:ptCount val="1"/>
                <c:pt idx="0">
                  <c:v>Regular Trade</c:v>
                </c:pt>
              </c:strCache>
            </c:strRef>
          </c:tx>
          <c:spPr>
            <a:ln w="28575" cap="rnd">
              <a:solidFill>
                <a:schemeClr val="accent2"/>
              </a:solidFill>
              <a:round/>
            </a:ln>
            <a:effectLst/>
          </c:spPr>
          <c:marker>
            <c:symbol val="none"/>
          </c:marker>
          <c:cat>
            <c:numRef>
              <c:f>'Overall Summary'!$T$11:$Z$11</c:f>
              <c:numCache>
                <c:formatCode>mmm\-yy</c:formatCode>
                <c:ptCount val="7"/>
                <c:pt idx="0">
                  <c:v>44378</c:v>
                </c:pt>
                <c:pt idx="1">
                  <c:v>44409</c:v>
                </c:pt>
                <c:pt idx="2">
                  <c:v>44440</c:v>
                </c:pt>
                <c:pt idx="3">
                  <c:v>44470</c:v>
                </c:pt>
                <c:pt idx="4">
                  <c:v>44501</c:v>
                </c:pt>
                <c:pt idx="5">
                  <c:v>44531</c:v>
                </c:pt>
                <c:pt idx="6">
                  <c:v>44562</c:v>
                </c:pt>
              </c:numCache>
            </c:numRef>
          </c:cat>
          <c:val>
            <c:numRef>
              <c:f>'Overall Summary'!$T$15:$Z$15</c:f>
              <c:numCache>
                <c:formatCode>#,##0_ ;[Red]\-#,##0\ </c:formatCode>
                <c:ptCount val="7"/>
                <c:pt idx="0">
                  <c:v>-756.03</c:v>
                </c:pt>
                <c:pt idx="1">
                  <c:v>0</c:v>
                </c:pt>
                <c:pt idx="2">
                  <c:v>0</c:v>
                </c:pt>
                <c:pt idx="3">
                  <c:v>125.86000000000024</c:v>
                </c:pt>
                <c:pt idx="4">
                  <c:v>86.579999999999501</c:v>
                </c:pt>
                <c:pt idx="5">
                  <c:v>-603.08999999999901</c:v>
                </c:pt>
                <c:pt idx="6">
                  <c:v>-2306.1399999999967</c:v>
                </c:pt>
              </c:numCache>
            </c:numRef>
          </c:val>
          <c:smooth val="0"/>
          <c:extLst>
            <c:ext xmlns:c16="http://schemas.microsoft.com/office/drawing/2014/chart" uri="{C3380CC4-5D6E-409C-BE32-E72D297353CC}">
              <c16:uniqueId val="{00000000-1390-461E-8408-43F94D4E518C}"/>
            </c:ext>
          </c:extLst>
        </c:ser>
        <c:ser>
          <c:idx val="1"/>
          <c:order val="1"/>
          <c:tx>
            <c:strRef>
              <c:f>'Overall Summary'!$C$16</c:f>
              <c:strCache>
                <c:ptCount val="1"/>
                <c:pt idx="0">
                  <c:v>Day Trade</c:v>
                </c:pt>
              </c:strCache>
            </c:strRef>
          </c:tx>
          <c:spPr>
            <a:ln w="28575" cap="rnd">
              <a:solidFill>
                <a:schemeClr val="accent4"/>
              </a:solidFill>
              <a:round/>
            </a:ln>
            <a:effectLst/>
          </c:spPr>
          <c:marker>
            <c:symbol val="none"/>
          </c:marker>
          <c:cat>
            <c:numRef>
              <c:f>'Overall Summary'!$T$11:$Z$11</c:f>
              <c:numCache>
                <c:formatCode>mmm\-yy</c:formatCode>
                <c:ptCount val="7"/>
                <c:pt idx="0">
                  <c:v>44378</c:v>
                </c:pt>
                <c:pt idx="1">
                  <c:v>44409</c:v>
                </c:pt>
                <c:pt idx="2">
                  <c:v>44440</c:v>
                </c:pt>
                <c:pt idx="3">
                  <c:v>44470</c:v>
                </c:pt>
                <c:pt idx="4">
                  <c:v>44501</c:v>
                </c:pt>
                <c:pt idx="5">
                  <c:v>44531</c:v>
                </c:pt>
                <c:pt idx="6">
                  <c:v>44562</c:v>
                </c:pt>
              </c:numCache>
            </c:numRef>
          </c:cat>
          <c:val>
            <c:numRef>
              <c:f>'Overall Summary'!$T$16:$Z$16</c:f>
              <c:numCache>
                <c:formatCode>#,##0_ ;[Red]\-#,##0\ </c:formatCode>
                <c:ptCount val="7"/>
                <c:pt idx="0">
                  <c:v>0</c:v>
                </c:pt>
                <c:pt idx="1">
                  <c:v>0</c:v>
                </c:pt>
                <c:pt idx="2">
                  <c:v>0</c:v>
                </c:pt>
                <c:pt idx="3">
                  <c:v>0</c:v>
                </c:pt>
                <c:pt idx="4">
                  <c:v>232.18999999999946</c:v>
                </c:pt>
                <c:pt idx="5">
                  <c:v>54.00999999999874</c:v>
                </c:pt>
                <c:pt idx="6">
                  <c:v>-1094.1584871794787</c:v>
                </c:pt>
              </c:numCache>
            </c:numRef>
          </c:val>
          <c:smooth val="0"/>
          <c:extLst>
            <c:ext xmlns:c16="http://schemas.microsoft.com/office/drawing/2014/chart" uri="{C3380CC4-5D6E-409C-BE32-E72D297353CC}">
              <c16:uniqueId val="{00000001-1390-461E-8408-43F94D4E518C}"/>
            </c:ext>
          </c:extLst>
        </c:ser>
        <c:ser>
          <c:idx val="2"/>
          <c:order val="2"/>
          <c:tx>
            <c:strRef>
              <c:f>'Overall Summary'!$C$17</c:f>
              <c:strCache>
                <c:ptCount val="1"/>
                <c:pt idx="0">
                  <c:v>Sub-total</c:v>
                </c:pt>
              </c:strCache>
            </c:strRef>
          </c:tx>
          <c:spPr>
            <a:ln w="28575" cap="rnd">
              <a:solidFill>
                <a:schemeClr val="accent6"/>
              </a:solidFill>
              <a:round/>
            </a:ln>
            <a:effectLst/>
          </c:spPr>
          <c:marker>
            <c:symbol val="none"/>
          </c:marker>
          <c:cat>
            <c:numRef>
              <c:f>'Overall Summary'!$T$11:$Z$11</c:f>
              <c:numCache>
                <c:formatCode>mmm\-yy</c:formatCode>
                <c:ptCount val="7"/>
                <c:pt idx="0">
                  <c:v>44378</c:v>
                </c:pt>
                <c:pt idx="1">
                  <c:v>44409</c:v>
                </c:pt>
                <c:pt idx="2">
                  <c:v>44440</c:v>
                </c:pt>
                <c:pt idx="3">
                  <c:v>44470</c:v>
                </c:pt>
                <c:pt idx="4">
                  <c:v>44501</c:v>
                </c:pt>
                <c:pt idx="5">
                  <c:v>44531</c:v>
                </c:pt>
                <c:pt idx="6">
                  <c:v>44562</c:v>
                </c:pt>
              </c:numCache>
            </c:numRef>
          </c:cat>
          <c:val>
            <c:numRef>
              <c:f>'Overall Summary'!$T$17:$Z$17</c:f>
              <c:numCache>
                <c:formatCode>#,##0_ ;[Red]\-#,##0\ </c:formatCode>
                <c:ptCount val="7"/>
                <c:pt idx="0">
                  <c:v>-756.03</c:v>
                </c:pt>
                <c:pt idx="1">
                  <c:v>0</c:v>
                </c:pt>
                <c:pt idx="2">
                  <c:v>0</c:v>
                </c:pt>
                <c:pt idx="3">
                  <c:v>125.86000000000024</c:v>
                </c:pt>
                <c:pt idx="4">
                  <c:v>318.76999999999896</c:v>
                </c:pt>
                <c:pt idx="5">
                  <c:v>-549.08000000000027</c:v>
                </c:pt>
                <c:pt idx="6">
                  <c:v>-3400.2984871794752</c:v>
                </c:pt>
              </c:numCache>
            </c:numRef>
          </c:val>
          <c:smooth val="0"/>
          <c:extLst>
            <c:ext xmlns:c16="http://schemas.microsoft.com/office/drawing/2014/chart" uri="{C3380CC4-5D6E-409C-BE32-E72D297353CC}">
              <c16:uniqueId val="{00000002-1390-461E-8408-43F94D4E518C}"/>
            </c:ext>
          </c:extLst>
        </c:ser>
        <c:dLbls>
          <c:showLegendKey val="0"/>
          <c:showVal val="0"/>
          <c:showCatName val="0"/>
          <c:showSerName val="0"/>
          <c:showPercent val="0"/>
          <c:showBubbleSize val="0"/>
        </c:dLbls>
        <c:smooth val="0"/>
        <c:axId val="487678080"/>
        <c:axId val="487678496"/>
      </c:lineChart>
      <c:dateAx>
        <c:axId val="48767808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496"/>
        <c:crosses val="autoZero"/>
        <c:auto val="1"/>
        <c:lblOffset val="100"/>
        <c:baseTimeUnit val="months"/>
      </c:dateAx>
      <c:valAx>
        <c:axId val="487678496"/>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Entire Portfolio</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'Overall Summary'!$C$18</c:f>
              <c:strCache>
                <c:ptCount val="1"/>
                <c:pt idx="0">
                  <c:v>Regular Trade</c:v>
                </c:pt>
              </c:strCache>
            </c:strRef>
          </c:tx>
          <c:spPr>
            <a:ln w="28575" cap="rnd">
              <a:solidFill>
                <a:schemeClr val="accent2"/>
              </a:solidFill>
              <a:round/>
            </a:ln>
            <a:effectLst/>
          </c:spPr>
          <c:marker>
            <c:symbol val="none"/>
          </c:marker>
          <c:cat>
            <c:numRef>
              <c:f>'Overall Summary'!$D$11:$Z$11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Summary'!$D$18:$Z$18</c:f>
              <c:numCache>
                <c:formatCode>#,##0_ ;[Red]\-#,##0\ </c:formatCode>
                <c:ptCount val="23"/>
                <c:pt idx="0">
                  <c:v>51.019999999999968</c:v>
                </c:pt>
                <c:pt idx="1">
                  <c:v>211.59999999999985</c:v>
                </c:pt>
                <c:pt idx="2">
                  <c:v>221.24000000000009</c:v>
                </c:pt>
                <c:pt idx="3">
                  <c:v>335.9443984476066</c:v>
                </c:pt>
                <c:pt idx="4">
                  <c:v>177.16830530401052</c:v>
                </c:pt>
                <c:pt idx="5">
                  <c:v>1068.3600000000001</c:v>
                </c:pt>
                <c:pt idx="6">
                  <c:v>113.3600000000001</c:v>
                </c:pt>
                <c:pt idx="7">
                  <c:v>232.2399999999999</c:v>
                </c:pt>
                <c:pt idx="8">
                  <c:v>1035.7615384615387</c:v>
                </c:pt>
                <c:pt idx="9">
                  <c:v>165.62000000000006</c:v>
                </c:pt>
                <c:pt idx="10">
                  <c:v>626.22229487179436</c:v>
                </c:pt>
                <c:pt idx="11">
                  <c:v>-358.88</c:v>
                </c:pt>
                <c:pt idx="12">
                  <c:v>1253.0700000000074</c:v>
                </c:pt>
                <c:pt idx="13">
                  <c:v>1698.9099999999985</c:v>
                </c:pt>
                <c:pt idx="14">
                  <c:v>1028.6517846153858</c:v>
                </c:pt>
                <c:pt idx="15">
                  <c:v>1944.5399999999972</c:v>
                </c:pt>
                <c:pt idx="16">
                  <c:v>2420.3999999999969</c:v>
                </c:pt>
                <c:pt idx="17">
                  <c:v>-4689.4894871794959</c:v>
                </c:pt>
                <c:pt idx="18">
                  <c:v>179.57999999999913</c:v>
                </c:pt>
                <c:pt idx="19">
                  <c:v>961.18451437451245</c:v>
                </c:pt>
                <c:pt idx="20">
                  <c:v>610.63999999999919</c:v>
                </c:pt>
                <c:pt idx="21">
                  <c:v>-41.612307692305876</c:v>
                </c:pt>
                <c:pt idx="22">
                  <c:v>-6617.2905217005227</c:v>
                </c:pt>
              </c:numCache>
            </c:numRef>
          </c:val>
          <c:smooth val="0"/>
          <c:extLst>
            <c:ext xmlns:c16="http://schemas.microsoft.com/office/drawing/2014/chart" uri="{C3380CC4-5D6E-409C-BE32-E72D297353CC}">
              <c16:uniqueId val="{00000000-ED9C-4868-8C24-5DC00F9D0CA0}"/>
            </c:ext>
          </c:extLst>
        </c:ser>
        <c:ser>
          <c:idx val="1"/>
          <c:order val="1"/>
          <c:tx>
            <c:strRef>
              <c:f>'Overall Summary'!$C$19</c:f>
              <c:strCache>
                <c:ptCount val="1"/>
                <c:pt idx="0">
                  <c:v>Day Trade</c:v>
                </c:pt>
              </c:strCache>
            </c:strRef>
          </c:tx>
          <c:spPr>
            <a:ln w="28575" cap="rnd">
              <a:solidFill>
                <a:schemeClr val="accent4"/>
              </a:solidFill>
              <a:round/>
            </a:ln>
            <a:effectLst/>
          </c:spPr>
          <c:marker>
            <c:symbol val="none"/>
          </c:marker>
          <c:cat>
            <c:numRef>
              <c:f>'Overall Summary'!$D$11:$Z$11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Summary'!$D$19:$Z$19</c:f>
              <c:numCache>
                <c:formatCode>#,##0_ ;[Red]\-#,##0\ </c:formatCode>
                <c:ptCount val="23"/>
                <c:pt idx="0">
                  <c:v>0</c:v>
                </c:pt>
                <c:pt idx="1">
                  <c:v>0</c:v>
                </c:pt>
                <c:pt idx="2">
                  <c:v>0</c:v>
                </c:pt>
                <c:pt idx="3">
                  <c:v>0</c:v>
                </c:pt>
                <c:pt idx="4">
                  <c:v>0</c:v>
                </c:pt>
                <c:pt idx="5">
                  <c:v>0</c:v>
                </c:pt>
                <c:pt idx="6">
                  <c:v>0</c:v>
                </c:pt>
                <c:pt idx="7">
                  <c:v>0</c:v>
                </c:pt>
                <c:pt idx="8">
                  <c:v>0</c:v>
                </c:pt>
                <c:pt idx="9">
                  <c:v>0</c:v>
                </c:pt>
                <c:pt idx="10">
                  <c:v>-1148.4440999999892</c:v>
                </c:pt>
                <c:pt idx="11">
                  <c:v>0</c:v>
                </c:pt>
                <c:pt idx="12">
                  <c:v>1503.7199999999943</c:v>
                </c:pt>
                <c:pt idx="13">
                  <c:v>331.24000000000535</c:v>
                </c:pt>
                <c:pt idx="14">
                  <c:v>-56.759999999999877</c:v>
                </c:pt>
                <c:pt idx="15">
                  <c:v>0</c:v>
                </c:pt>
                <c:pt idx="16">
                  <c:v>913.13999999999942</c:v>
                </c:pt>
                <c:pt idx="17">
                  <c:v>198.09999999999442</c:v>
                </c:pt>
                <c:pt idx="18">
                  <c:v>113.23999999999899</c:v>
                </c:pt>
                <c:pt idx="19">
                  <c:v>0</c:v>
                </c:pt>
                <c:pt idx="20">
                  <c:v>232.18999999999946</c:v>
                </c:pt>
                <c:pt idx="21">
                  <c:v>130.84999999999872</c:v>
                </c:pt>
                <c:pt idx="22">
                  <c:v>-2443.4512134893894</c:v>
                </c:pt>
              </c:numCache>
            </c:numRef>
          </c:val>
          <c:smooth val="0"/>
          <c:extLst>
            <c:ext xmlns:c16="http://schemas.microsoft.com/office/drawing/2014/chart" uri="{C3380CC4-5D6E-409C-BE32-E72D297353CC}">
              <c16:uniqueId val="{00000001-ED9C-4868-8C24-5DC00F9D0CA0}"/>
            </c:ext>
          </c:extLst>
        </c:ser>
        <c:ser>
          <c:idx val="2"/>
          <c:order val="2"/>
          <c:tx>
            <c:strRef>
              <c:f>'Overall Summary'!$C$20</c:f>
              <c:strCache>
                <c:ptCount val="1"/>
                <c:pt idx="0">
                  <c:v>Sub-total</c:v>
                </c:pt>
              </c:strCache>
            </c:strRef>
          </c:tx>
          <c:spPr>
            <a:ln w="28575" cap="rnd">
              <a:solidFill>
                <a:schemeClr val="accent6"/>
              </a:solidFill>
              <a:round/>
            </a:ln>
            <a:effectLst/>
          </c:spPr>
          <c:marker>
            <c:symbol val="none"/>
          </c:marker>
          <c:cat>
            <c:numRef>
              <c:f>'Overall Summary'!$D$11:$Z$11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Summary'!$D$20:$Z$20</c:f>
              <c:numCache>
                <c:formatCode>#,##0_ ;[Red]\-#,##0\ </c:formatCode>
                <c:ptCount val="23"/>
                <c:pt idx="0">
                  <c:v>51.019999999999968</c:v>
                </c:pt>
                <c:pt idx="1">
                  <c:v>211.59999999999985</c:v>
                </c:pt>
                <c:pt idx="2">
                  <c:v>221.24000000000009</c:v>
                </c:pt>
                <c:pt idx="3">
                  <c:v>335.9443984476066</c:v>
                </c:pt>
                <c:pt idx="4">
                  <c:v>177.16830530401052</c:v>
                </c:pt>
                <c:pt idx="5">
                  <c:v>1068.3600000000001</c:v>
                </c:pt>
                <c:pt idx="6">
                  <c:v>113.3600000000001</c:v>
                </c:pt>
                <c:pt idx="7">
                  <c:v>232.2399999999999</c:v>
                </c:pt>
                <c:pt idx="8">
                  <c:v>1035.7615384615387</c:v>
                </c:pt>
                <c:pt idx="9">
                  <c:v>165.62000000000006</c:v>
                </c:pt>
                <c:pt idx="10">
                  <c:v>-522.22180512819489</c:v>
                </c:pt>
                <c:pt idx="11">
                  <c:v>-358.88</c:v>
                </c:pt>
                <c:pt idx="12">
                  <c:v>2756.7900000000018</c:v>
                </c:pt>
                <c:pt idx="13">
                  <c:v>2030.1500000000037</c:v>
                </c:pt>
                <c:pt idx="14">
                  <c:v>971.89178461538597</c:v>
                </c:pt>
                <c:pt idx="15">
                  <c:v>1944.5399999999972</c:v>
                </c:pt>
                <c:pt idx="16">
                  <c:v>3333.5399999999963</c:v>
                </c:pt>
                <c:pt idx="17">
                  <c:v>-4491.3894871795019</c:v>
                </c:pt>
                <c:pt idx="18">
                  <c:v>292.81999999999812</c:v>
                </c:pt>
                <c:pt idx="19">
                  <c:v>961.18451437451245</c:v>
                </c:pt>
                <c:pt idx="20">
                  <c:v>842.82999999999868</c:v>
                </c:pt>
                <c:pt idx="21">
                  <c:v>89.237692307692839</c:v>
                </c:pt>
                <c:pt idx="22">
                  <c:v>-9060.741735189913</c:v>
                </c:pt>
              </c:numCache>
            </c:numRef>
          </c:val>
          <c:smooth val="0"/>
          <c:extLst>
            <c:ext xmlns:c16="http://schemas.microsoft.com/office/drawing/2014/chart" uri="{C3380CC4-5D6E-409C-BE32-E72D297353CC}">
              <c16:uniqueId val="{00000002-ED9C-4868-8C24-5DC00F9D0CA0}"/>
            </c:ext>
          </c:extLst>
        </c:ser>
        <c:dLbls>
          <c:showLegendKey val="0"/>
          <c:showVal val="0"/>
          <c:showCatName val="0"/>
          <c:showSerName val="0"/>
          <c:showPercent val="0"/>
          <c:showBubbleSize val="0"/>
        </c:dLbls>
        <c:smooth val="0"/>
        <c:axId val="487678080"/>
        <c:axId val="487678496"/>
      </c:lineChart>
      <c:dateAx>
        <c:axId val="48767808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496"/>
        <c:crosses val="autoZero"/>
        <c:auto val="1"/>
        <c:lblOffset val="100"/>
        <c:baseTimeUnit val="months"/>
      </c:dateAx>
      <c:valAx>
        <c:axId val="487678496"/>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INDEX</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'Overall Summary'!$C$42</c:f>
              <c:strCache>
                <c:ptCount val="1"/>
                <c:pt idx="0">
                  <c:v>Hang Seng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'Overall Summary'!$D$41:$Z$41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Summary'!$D$42:$Z$42</c:f>
              <c:numCache>
                <c:formatCode>_(* #,##0_);_(* \(#,##0\);_(* "-"??_);_(@_)</c:formatCode>
                <c:ptCount val="23"/>
                <c:pt idx="0">
                  <c:v>23603</c:v>
                </c:pt>
                <c:pt idx="1">
                  <c:v>24643</c:v>
                </c:pt>
                <c:pt idx="2">
                  <c:v>22961</c:v>
                </c:pt>
                <c:pt idx="3">
                  <c:v>24427</c:v>
                </c:pt>
                <c:pt idx="4">
                  <c:v>24595</c:v>
                </c:pt>
                <c:pt idx="5">
                  <c:v>25177</c:v>
                </c:pt>
                <c:pt idx="6">
                  <c:v>23459</c:v>
                </c:pt>
                <c:pt idx="7">
                  <c:v>24107</c:v>
                </c:pt>
                <c:pt idx="8">
                  <c:v>26341</c:v>
                </c:pt>
                <c:pt idx="9">
                  <c:v>27231</c:v>
                </c:pt>
                <c:pt idx="10">
                  <c:v>28283</c:v>
                </c:pt>
                <c:pt idx="11">
                  <c:v>28980</c:v>
                </c:pt>
                <c:pt idx="12">
                  <c:v>28378</c:v>
                </c:pt>
                <c:pt idx="13">
                  <c:v>28724</c:v>
                </c:pt>
                <c:pt idx="14">
                  <c:v>29151</c:v>
                </c:pt>
                <c:pt idx="15">
                  <c:v>28827</c:v>
                </c:pt>
                <c:pt idx="16">
                  <c:v>25961</c:v>
                </c:pt>
                <c:pt idx="17">
                  <c:v>25878</c:v>
                </c:pt>
                <c:pt idx="18">
                  <c:v>24575</c:v>
                </c:pt>
                <c:pt idx="19">
                  <c:v>25377</c:v>
                </c:pt>
                <c:pt idx="20">
                  <c:v>23475</c:v>
                </c:pt>
                <c:pt idx="21">
                  <c:v>23397</c:v>
                </c:pt>
                <c:pt idx="22">
                  <c:v>24429</c:v>
                </c:pt>
              </c:numCache>
            </c:numRef>
          </c:val>
          <c:smooth val="0"/>
          <c:extLst>
            <c:ext xmlns:c16="http://schemas.microsoft.com/office/drawing/2014/chart" uri="{C3380CC4-5D6E-409C-BE32-E72D297353CC}">
              <c16:uniqueId val="{00000000-D140-446C-B4DC-4E54D6FEF87B}"/>
            </c:ext>
          </c:extLst>
        </c:ser>
        <c:ser>
          <c:idx val="1"/>
          <c:order val="1"/>
          <c:tx>
            <c:strRef>
              <c:f>'Overall Summary'!$C$43</c:f>
              <c:strCache>
                <c:ptCount val="1"/>
                <c:pt idx="0">
                  <c:v>DJI</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'Overall Summary'!$D$41:$Z$41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Summary'!$D$43:$Z$43</c:f>
              <c:numCache>
                <c:formatCode>_(* #,##0_);_(* \(#,##0\);_(* "-"??_);_(@_)</c:formatCode>
                <c:ptCount val="23"/>
                <c:pt idx="0">
                  <c:v>24345</c:v>
                </c:pt>
                <c:pt idx="1">
                  <c:v>25383</c:v>
                </c:pt>
                <c:pt idx="2">
                  <c:v>25812</c:v>
                </c:pt>
                <c:pt idx="3">
                  <c:v>26428</c:v>
                </c:pt>
                <c:pt idx="4">
                  <c:v>28430</c:v>
                </c:pt>
                <c:pt idx="5">
                  <c:v>27781</c:v>
                </c:pt>
                <c:pt idx="6">
                  <c:v>26501</c:v>
                </c:pt>
                <c:pt idx="7">
                  <c:v>29638</c:v>
                </c:pt>
                <c:pt idx="8">
                  <c:v>30606</c:v>
                </c:pt>
                <c:pt idx="9">
                  <c:v>29982</c:v>
                </c:pt>
                <c:pt idx="10">
                  <c:v>30932</c:v>
                </c:pt>
                <c:pt idx="11">
                  <c:v>32981</c:v>
                </c:pt>
                <c:pt idx="12">
                  <c:v>33874</c:v>
                </c:pt>
                <c:pt idx="13">
                  <c:v>34529</c:v>
                </c:pt>
                <c:pt idx="14">
                  <c:v>34502</c:v>
                </c:pt>
                <c:pt idx="15">
                  <c:v>34935</c:v>
                </c:pt>
                <c:pt idx="16">
                  <c:v>35360</c:v>
                </c:pt>
                <c:pt idx="17">
                  <c:v>33843</c:v>
                </c:pt>
                <c:pt idx="18">
                  <c:v>35819</c:v>
                </c:pt>
                <c:pt idx="19">
                  <c:v>34483</c:v>
                </c:pt>
                <c:pt idx="20">
                  <c:v>36338</c:v>
                </c:pt>
                <c:pt idx="21">
                  <c:v>36113</c:v>
                </c:pt>
                <c:pt idx="22">
                  <c:v>36113</c:v>
                </c:pt>
              </c:numCache>
            </c:numRef>
          </c:val>
          <c:smooth val="0"/>
          <c:extLst>
            <c:ext xmlns:c16="http://schemas.microsoft.com/office/drawing/2014/chart" uri="{C3380CC4-5D6E-409C-BE32-E72D297353CC}">
              <c16:uniqueId val="{00000001-D140-446C-B4DC-4E54D6FEF87B}"/>
            </c:ext>
          </c:extLst>
        </c:ser>
        <c:ser>
          <c:idx val="2"/>
          <c:order val="2"/>
          <c:tx>
            <c:strRef>
              <c:f>'Overall Summary'!$C$44</c:f>
              <c:strCache>
                <c:ptCount val="1"/>
                <c:pt idx="0">
                  <c:v>NASDAQ</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'Overall Summary'!$D$41:$Z$41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Summary'!$D$44:$Z$44</c:f>
              <c:numCache>
                <c:formatCode>_(* #,##0_);_(* \(#,##0\);_(* "-"??_);_(@_)</c:formatCode>
                <c:ptCount val="23"/>
                <c:pt idx="0">
                  <c:v>8889</c:v>
                </c:pt>
                <c:pt idx="1">
                  <c:v>3489</c:v>
                </c:pt>
                <c:pt idx="2">
                  <c:v>10058</c:v>
                </c:pt>
                <c:pt idx="3">
                  <c:v>10745</c:v>
                </c:pt>
                <c:pt idx="4">
                  <c:v>11775</c:v>
                </c:pt>
                <c:pt idx="5">
                  <c:v>11167</c:v>
                </c:pt>
                <c:pt idx="6">
                  <c:v>10911</c:v>
                </c:pt>
                <c:pt idx="7">
                  <c:v>12198</c:v>
                </c:pt>
                <c:pt idx="8">
                  <c:v>12888</c:v>
                </c:pt>
                <c:pt idx="9">
                  <c:v>13070</c:v>
                </c:pt>
                <c:pt idx="10">
                  <c:v>13192</c:v>
                </c:pt>
                <c:pt idx="11">
                  <c:v>13246</c:v>
                </c:pt>
                <c:pt idx="12">
                  <c:v>13962</c:v>
                </c:pt>
                <c:pt idx="13">
                  <c:v>13748</c:v>
                </c:pt>
                <c:pt idx="14">
                  <c:v>14503</c:v>
                </c:pt>
                <c:pt idx="15">
                  <c:v>14672</c:v>
                </c:pt>
                <c:pt idx="16">
                  <c:v>15259</c:v>
                </c:pt>
                <c:pt idx="17">
                  <c:v>14448</c:v>
                </c:pt>
                <c:pt idx="18">
                  <c:v>15498</c:v>
                </c:pt>
                <c:pt idx="19">
                  <c:v>15537</c:v>
                </c:pt>
                <c:pt idx="20">
                  <c:v>15644</c:v>
                </c:pt>
                <c:pt idx="21">
                  <c:v>14806</c:v>
                </c:pt>
                <c:pt idx="22">
                  <c:v>14806</c:v>
                </c:pt>
              </c:numCache>
            </c:numRef>
          </c:val>
          <c:smooth val="0"/>
          <c:extLst>
            <c:ext xmlns:c16="http://schemas.microsoft.com/office/drawing/2014/chart" uri="{C3380CC4-5D6E-409C-BE32-E72D297353CC}">
              <c16:uniqueId val="{00000002-D140-446C-B4DC-4E54D6FEF87B}"/>
            </c:ext>
          </c:extLst>
        </c:ser>
        <c:ser>
          <c:idx val="3"/>
          <c:order val="3"/>
          <c:tx>
            <c:strRef>
              <c:f>'Overall Summary'!$C$45</c:f>
              <c:strCache>
                <c:ptCount val="1"/>
                <c:pt idx="0">
                  <c:v>S&amp;P 500</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'Overall Summary'!$D$41:$Z$41</c:f>
              <c:numCache>
                <c:formatCode>mmm\-yy</c:formatCode>
                <c:ptCount val="23"/>
                <c:pt idx="0">
                  <c:v>43891</c:v>
                </c:pt>
                <c:pt idx="1">
                  <c:v>43922</c:v>
                </c:pt>
                <c:pt idx="2">
                  <c:v>43952</c:v>
                </c:pt>
                <c:pt idx="3">
                  <c:v>43983</c:v>
                </c:pt>
                <c:pt idx="4">
                  <c:v>44013</c:v>
                </c:pt>
                <c:pt idx="5">
                  <c:v>44044</c:v>
                </c:pt>
                <c:pt idx="6">
                  <c:v>44075</c:v>
                </c:pt>
                <c:pt idx="7">
                  <c:v>44105</c:v>
                </c:pt>
                <c:pt idx="8">
                  <c:v>44136</c:v>
                </c:pt>
                <c:pt idx="9">
                  <c:v>44166</c:v>
                </c:pt>
                <c:pt idx="10">
                  <c:v>44197</c:v>
                </c:pt>
                <c:pt idx="11">
                  <c:v>44228</c:v>
                </c:pt>
                <c:pt idx="12">
                  <c:v>44256</c:v>
                </c:pt>
                <c:pt idx="13">
                  <c:v>44287</c:v>
                </c:pt>
                <c:pt idx="14">
                  <c:v>44317</c:v>
                </c:pt>
                <c:pt idx="15">
                  <c:v>44348</c:v>
                </c:pt>
                <c:pt idx="16">
                  <c:v>44378</c:v>
                </c:pt>
                <c:pt idx="17">
                  <c:v>44409</c:v>
                </c:pt>
                <c:pt idx="18">
                  <c:v>44440</c:v>
                </c:pt>
                <c:pt idx="19">
                  <c:v>44470</c:v>
                </c:pt>
                <c:pt idx="20">
                  <c:v>44501</c:v>
                </c:pt>
                <c:pt idx="21">
                  <c:v>44531</c:v>
                </c:pt>
                <c:pt idx="22">
                  <c:v>44562</c:v>
                </c:pt>
              </c:numCache>
            </c:numRef>
          </c:cat>
          <c:val>
            <c:numRef>
              <c:f>'Overall Summary'!$D$45:$Z$45</c:f>
              <c:numCache>
                <c:formatCode>_(* #,##0_);_(* \(#,##0\);_(* "-"??_);_(@_)</c:formatCode>
                <c:ptCount val="23"/>
                <c:pt idx="0">
                  <c:v>2912</c:v>
                </c:pt>
                <c:pt idx="1">
                  <c:v>3044</c:v>
                </c:pt>
                <c:pt idx="2">
                  <c:v>3100</c:v>
                </c:pt>
                <c:pt idx="3">
                  <c:v>3271</c:v>
                </c:pt>
                <c:pt idx="4">
                  <c:v>3500</c:v>
                </c:pt>
                <c:pt idx="5">
                  <c:v>3363</c:v>
                </c:pt>
                <c:pt idx="6">
                  <c:v>3269</c:v>
                </c:pt>
                <c:pt idx="7">
                  <c:v>3621</c:v>
                </c:pt>
                <c:pt idx="8">
                  <c:v>3756</c:v>
                </c:pt>
                <c:pt idx="9">
                  <c:v>3714</c:v>
                </c:pt>
                <c:pt idx="10">
                  <c:v>3811</c:v>
                </c:pt>
                <c:pt idx="11">
                  <c:v>3972</c:v>
                </c:pt>
                <c:pt idx="12">
                  <c:v>4181</c:v>
                </c:pt>
                <c:pt idx="13">
                  <c:v>4204</c:v>
                </c:pt>
                <c:pt idx="14">
                  <c:v>4297</c:v>
                </c:pt>
                <c:pt idx="15">
                  <c:v>4395</c:v>
                </c:pt>
                <c:pt idx="16">
                  <c:v>4522</c:v>
                </c:pt>
                <c:pt idx="17">
                  <c:v>4307</c:v>
                </c:pt>
                <c:pt idx="18">
                  <c:v>4605</c:v>
                </c:pt>
                <c:pt idx="19">
                  <c:v>4567</c:v>
                </c:pt>
                <c:pt idx="20">
                  <c:v>4766</c:v>
                </c:pt>
                <c:pt idx="21">
                  <c:v>4659</c:v>
                </c:pt>
                <c:pt idx="22">
                  <c:v>4659</c:v>
                </c:pt>
              </c:numCache>
            </c:numRef>
          </c:val>
          <c:smooth val="0"/>
          <c:extLst>
            <c:ext xmlns:c16="http://schemas.microsoft.com/office/drawing/2014/chart" uri="{C3380CC4-5D6E-409C-BE32-E72D297353CC}">
              <c16:uniqueId val="{00000003-D140-446C-B4DC-4E54D6FEF87B}"/>
            </c:ext>
          </c:extLst>
        </c:ser>
        <c:dLbls>
          <c:showLegendKey val="0"/>
          <c:showVal val="0"/>
          <c:showCatName val="0"/>
          <c:showSerName val="0"/>
          <c:showPercent val="0"/>
          <c:showBubbleSize val="0"/>
        </c:dLbls>
        <c:marker val="1"/>
        <c:smooth val="0"/>
        <c:axId val="783969328"/>
        <c:axId val="783950608"/>
      </c:lineChart>
      <c:dateAx>
        <c:axId val="78396932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950608"/>
        <c:crosses val="autoZero"/>
        <c:auto val="1"/>
        <c:lblOffset val="100"/>
        <c:baseTimeUnit val="months"/>
      </c:dateAx>
      <c:valAx>
        <c:axId val="7839506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96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'Lost Return Ratio'!$C$5</c:f>
              <c:strCache>
                <c:ptCount val="1"/>
                <c:pt idx="0">
                  <c:v>Lost</c:v>
                </c:pt>
              </c:strCache>
            </c:strRef>
          </c:tx>
          <c:spPr>
            <a:ln w="28575" cap="rnd">
              <a:solidFill>
                <a:schemeClr val="accent1"/>
              </a:solidFill>
              <a:round/>
            </a:ln>
            <a:effectLst/>
          </c:spPr>
          <c:marker>
            <c:symbol val="none"/>
          </c:marker>
          <c:val>
            <c:numRef>
              <c:f>'Lost Return Ratio'!$C$6:$C$13</c:f>
              <c:numCache>
                <c:formatCode>0%</c:formatCode>
                <c:ptCount val="8"/>
                <c:pt idx="0">
                  <c:v>0.05</c:v>
                </c:pt>
                <c:pt idx="1">
                  <c:v>0.1</c:v>
                </c:pt>
                <c:pt idx="2">
                  <c:v>0.15</c:v>
                </c:pt>
                <c:pt idx="3">
                  <c:v>0.2</c:v>
                </c:pt>
                <c:pt idx="4">
                  <c:v>0.25</c:v>
                </c:pt>
                <c:pt idx="5">
                  <c:v>0.3</c:v>
                </c:pt>
                <c:pt idx="6">
                  <c:v>0.4</c:v>
                </c:pt>
                <c:pt idx="7">
                  <c:v>0.5</c:v>
                </c:pt>
              </c:numCache>
            </c:numRef>
          </c:val>
          <c:smooth val="0"/>
          <c:extLst>
            <c:ext xmlns:c16="http://schemas.microsoft.com/office/drawing/2014/chart" uri="{C3380CC4-5D6E-409C-BE32-E72D297353CC}">
              <c16:uniqueId val="{00000000-6895-4C35-A137-4FBB6EAB8822}"/>
            </c:ext>
          </c:extLst>
        </c:ser>
        <c:ser>
          <c:idx val="1"/>
          <c:order val="1"/>
          <c:tx>
            <c:strRef>
              <c:f>'Lost Return Ratio'!$D$5</c:f>
              <c:strCache>
                <c:ptCount val="1"/>
              </c:strCache>
            </c:strRef>
          </c:tx>
          <c:spPr>
            <a:ln w="28575" cap="rnd">
              <a:solidFill>
                <a:schemeClr val="accent2"/>
              </a:solidFill>
              <a:round/>
            </a:ln>
            <a:effectLst/>
          </c:spPr>
          <c:marker>
            <c:symbol val="none"/>
          </c:marker>
          <c:val>
            <c:numRef>
              <c:f>'Lost Return Ratio'!$D$6:$D$13</c:f>
              <c:numCache>
                <c:formatCode>General</c:formatCode>
                <c:ptCount val="8"/>
              </c:numCache>
            </c:numRef>
          </c:val>
          <c:smooth val="0"/>
          <c:extLst>
            <c:ext xmlns:c16="http://schemas.microsoft.com/office/drawing/2014/chart" uri="{C3380CC4-5D6E-409C-BE32-E72D297353CC}">
              <c16:uniqueId val="{00000001-6895-4C35-A137-4FBB6EAB8822}"/>
            </c:ext>
          </c:extLst>
        </c:ser>
        <c:ser>
          <c:idx val="2"/>
          <c:order val="2"/>
          <c:tx>
            <c:strRef>
              <c:f>'Lost Return Ratio'!$E$5</c:f>
              <c:strCache>
                <c:ptCount val="1"/>
                <c:pt idx="0">
                  <c:v>Return</c:v>
                </c:pt>
              </c:strCache>
            </c:strRef>
          </c:tx>
          <c:spPr>
            <a:ln w="28575" cap="rnd">
              <a:solidFill>
                <a:schemeClr val="accent3"/>
              </a:solidFill>
              <a:round/>
            </a:ln>
            <a:effectLst/>
          </c:spPr>
          <c:marker>
            <c:symbol val="none"/>
          </c:marker>
          <c:val>
            <c:numRef>
              <c:f>'Lost Return Ratio'!$E$6:$E$13</c:f>
              <c:numCache>
                <c:formatCode>0%</c:formatCode>
                <c:ptCount val="8"/>
                <c:pt idx="0" formatCode="0.00%">
                  <c:v>5.2999999999999999E-2</c:v>
                </c:pt>
                <c:pt idx="1">
                  <c:v>0.11</c:v>
                </c:pt>
                <c:pt idx="2">
                  <c:v>0.18</c:v>
                </c:pt>
                <c:pt idx="3">
                  <c:v>0.25</c:v>
                </c:pt>
                <c:pt idx="4">
                  <c:v>0.33</c:v>
                </c:pt>
                <c:pt idx="5">
                  <c:v>0.43</c:v>
                </c:pt>
                <c:pt idx="6">
                  <c:v>0.67</c:v>
                </c:pt>
                <c:pt idx="7">
                  <c:v>1</c:v>
                </c:pt>
              </c:numCache>
            </c:numRef>
          </c:val>
          <c:smooth val="0"/>
          <c:extLst>
            <c:ext xmlns:c16="http://schemas.microsoft.com/office/drawing/2014/chart" uri="{C3380CC4-5D6E-409C-BE32-E72D297353CC}">
              <c16:uniqueId val="{00000002-6895-4C35-A137-4FBB6EAB8822}"/>
            </c:ext>
          </c:extLst>
        </c:ser>
        <c:dLbls>
          <c:showLegendKey val="0"/>
          <c:showVal val="0"/>
          <c:showCatName val="0"/>
          <c:showSerName val="0"/>
          <c:showPercent val="0"/>
          <c:showBubbleSize val="0"/>
        </c:dLbls>
        <c:smooth val="0"/>
        <c:axId val="655931488"/>
        <c:axId val="655930176"/>
      </c:lineChart>
      <c:catAx>
        <c:axId val="6559314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930176"/>
        <c:crosses val="autoZero"/>
        <c:auto val="1"/>
        <c:lblAlgn val="ctr"/>
        <c:lblOffset val="100"/>
        <c:noMultiLvlLbl val="0"/>
      </c:catAx>
      <c:valAx>
        <c:axId val="655930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931488"/>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28575</xdr:colOff>
      <xdr:row>22</xdr:row>
      <xdr:rowOff>47625</xdr:rowOff>
    </xdr:from>
    <xdr:to>
      <xdr:col>6</xdr:col>
      <xdr:colOff>180975</xdr:colOff>
      <xdr:row>36</xdr:row>
      <xdr:rowOff>123825</xdr:rowOff>
    </xdr:to>
    <xdr:graphicFrame macro="">
      <xdr:nvGraphicFramePr>
        <xdr:cNvPr id="2" name="Chart 1">
          <a:extLst>
            <a:ext uri="{FF2B5EF4-FFF2-40B4-BE49-F238E27FC236}">
              <a16:creationId xmlns:a16="http://schemas.microsoft.com/office/drawing/2014/main" id="{A61F77E0-9093-4C72-BB6F-1EEC5D636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22</xdr:row>
      <xdr:rowOff>57150</xdr:rowOff>
    </xdr:from>
    <xdr:to>
      <xdr:col>16</xdr:col>
      <xdr:colOff>200025</xdr:colOff>
      <xdr:row>36</xdr:row>
      <xdr:rowOff>133350</xdr:rowOff>
    </xdr:to>
    <xdr:graphicFrame macro="">
      <xdr:nvGraphicFramePr>
        <xdr:cNvPr id="3" name="Chart 2">
          <a:extLst>
            <a:ext uri="{FF2B5EF4-FFF2-40B4-BE49-F238E27FC236}">
              <a16:creationId xmlns:a16="http://schemas.microsoft.com/office/drawing/2014/main" id="{B58CF382-5A94-4C4B-B1E3-AD6FFA2A9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304800</xdr:colOff>
      <xdr:row>22</xdr:row>
      <xdr:rowOff>38100</xdr:rowOff>
    </xdr:from>
    <xdr:to>
      <xdr:col>26</xdr:col>
      <xdr:colOff>466725</xdr:colOff>
      <xdr:row>36</xdr:row>
      <xdr:rowOff>114300</xdr:rowOff>
    </xdr:to>
    <xdr:graphicFrame macro="">
      <xdr:nvGraphicFramePr>
        <xdr:cNvPr id="4" name="Chart 3">
          <a:extLst>
            <a:ext uri="{FF2B5EF4-FFF2-40B4-BE49-F238E27FC236}">
              <a16:creationId xmlns:a16="http://schemas.microsoft.com/office/drawing/2014/main" id="{DF70DCA6-30E3-4C99-B125-EC1286BB1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285749</xdr:colOff>
      <xdr:row>46</xdr:row>
      <xdr:rowOff>76199</xdr:rowOff>
    </xdr:from>
    <xdr:to>
      <xdr:col>23</xdr:col>
      <xdr:colOff>447675</xdr:colOff>
      <xdr:row>64</xdr:row>
      <xdr:rowOff>76200</xdr:rowOff>
    </xdr:to>
    <xdr:graphicFrame macro="">
      <xdr:nvGraphicFramePr>
        <xdr:cNvPr id="5" name="Chart 4">
          <a:extLst>
            <a:ext uri="{FF2B5EF4-FFF2-40B4-BE49-F238E27FC236}">
              <a16:creationId xmlns:a16="http://schemas.microsoft.com/office/drawing/2014/main" id="{5DDE7FCD-0832-4D4B-9216-D1FCEB66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85725</xdr:colOff>
      <xdr:row>3</xdr:row>
      <xdr:rowOff>19050</xdr:rowOff>
    </xdr:from>
    <xdr:to>
      <xdr:col>15</xdr:col>
      <xdr:colOff>295273</xdr:colOff>
      <xdr:row>30</xdr:row>
      <xdr:rowOff>129541</xdr:rowOff>
    </xdr:to>
    <xdr:graphicFrame macro="">
      <xdr:nvGraphicFramePr>
        <xdr:cNvPr id="2" name="Chart 1">
          <a:extLst>
            <a:ext uri="{FF2B5EF4-FFF2-40B4-BE49-F238E27FC236}">
              <a16:creationId xmlns:a16="http://schemas.microsoft.com/office/drawing/2014/main" id="{7FF065FA-86E2-4F1C-9E04-715144F98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extLst>
        <x:ext xmlns:xlrvr="http://schemas.microsoft.com/office/spreadsheetml/2020/richvaluerefresh" uri="{6D21E516-79A1-49C6-A8DF-7D825B72F6C7}">
          <xlrvr:refreshIntervals>
            <xlrvr:refreshInterval resourceIdInt="268435456" interval="0"/>
          </xlrvr:refreshIntervals>
        </x:ext>
      </extLst>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66">
  <rv s="0">
    <v>https://www.bing.com/financeapi/forcetrigger?t=bsrlk2&amp;q=XHKG%3a9988&amp;form=skydnc</v>
    <v>Learn more on Bing</v>
  </rv>
  <rv s="1">
    <v>en-ID</v>
    <v>bsrlk2</v>
    <v>268435456</v>
    <v>1</v>
    <v>Powered by Refinitiv</v>
    <v>0</v>
    <v>Alibaba Group Holding Limited (XHKG:9988)</v>
    <v>2</v>
    <v>3</v>
    <v>Finance</v>
    <v>4</v>
    <v>241.6</v>
    <v>71</v>
    <v>2.4</v>
    <v>0</v>
    <v>2.1602E-2</v>
    <v>0</v>
    <v>HKD</v>
    <v>Alibaba Group Holding Ltd is a holding company that provides the technology infrastructure and marketing reach to help merchants, brands and other businesses to leverage the power of new technology to engage with users and customers to operate. The Company operates four business segments. The Core Commerce segment provides China retail, China wholesale, International retail, International wholesale, Cainiao logistics services and local consumer services through Taobao Marketplace and Tmall. The Cloud Computing segment provides complete suite of cloud services, including database, storage, network virtualization services, big data analytics and others. The Digital Media and Entertainment segment provides consumer services beyond the core business operations. The Innovation Initiatives and Others segment is to innovate and deliver new services and products.</v>
    <v>259316</v>
    <v>Hong Kong Stock Exchange</v>
    <v>XHKG</v>
    <v>XHKG</v>
    <v>No. 699 Wangshang Road, Binjiang District, HANGZHOU, ZHEJIANG, 310052 CN</v>
    <v>114.8</v>
    <v>Software &amp; IT Services</v>
    <v>Stock</v>
    <v>44649.339085648149</v>
    <v>0</v>
    <v>112.2</v>
    <v>2404222000000</v>
    <v>Alibaba Group Holding Limited</v>
    <v>Alibaba Group Holding Limited</v>
    <v>112.7</v>
    <v>30.62</v>
    <v>111.1</v>
    <v>113.5</v>
    <v>113.5</v>
    <v>21745430000</v>
    <v>9988</v>
    <v>Alibaba Group Holding Limited (XHKG:9988)</v>
    <v>28129247</v>
    <v>96449900</v>
    <v>1999</v>
  </rv>
  <rv s="2">
    <v>1</v>
  </rv>
  <rv s="0">
    <v>http://creativecommons.org/licenses/by-sa/3.0/</v>
    <v>CC-BY-SA-3.0</v>
  </rv>
  <rv s="0">
    <v>http://no.wikipedia.org/wiki/Advanced_Micro_Devices</v>
    <v>Wikipedia</v>
  </rv>
  <rv s="3">
    <v>3</v>
    <v>4</v>
  </rv>
  <rv s="4">
    <v>10</v>
    <v>https://www.bing.com/th?id=AMMS_e3fa462c362b004b5cbe2354fd6f67e1&amp;qlt=95</v>
    <v>5</v>
    <v>0</v>
    <v>https://www.bing.com/images/search?form=xlimg&amp;q=advanced+micro+devices</v>
    <v>Image of ADVANCED MICRO DEVICES, INC.</v>
  </rv>
  <rv s="0">
    <v>https://www.bing.com/financeapi/forcetrigger?t=a1ndww&amp;q=XNAS%3aAMD&amp;form=skydnc</v>
    <v>Learn more on Bing</v>
  </rv>
  <rv s="5">
    <v>en-ID</v>
    <v>a1ndww</v>
    <v>268435456</v>
    <v>1</v>
    <v>Powered by Refinitiv</v>
    <v>5</v>
    <v>ADVANCED MICRO DEVICES, INC. (XNAS:AMD)</v>
    <v>7</v>
    <v>8</v>
    <v>Finance</v>
    <v>9</v>
    <v>164.4599</v>
    <v>72.5</v>
    <v>1.8252999999999999</v>
    <v>0.56999999999999995</v>
    <v>4.7629999999999999E-3</v>
    <v>USD</v>
    <v>Advanced Micro Devices, Inc. is a global semiconductor company. Its segments include Computing and Graphics, and Enterprise, Embedded and Semi-Custom. The Computing and Graphics segment primarily includes desktop and notebook microprocessors, accelerated processing units that integrate microprocessors and graphics, chipsets, discrete graphics processing units (GPUs), data center and professional GPUs, and development services. It may also sell or license portions of its intellectual property (IP) portfolio. The Enterprise, Embedded and Semi-Custom segment primarily includes server and embedded processors, semi-custom system-on-chip (SoC) products, development services, and technology for game consoles, and it may also sell or license portions of its IP portfolio. Its microprocessor customers consist primarily of original equipment manufacturers (OEMs), large public cloud service providers, original design manufacturers (ODMs), system integrators, and independent distributors.</v>
    <v>15500</v>
    <v>Nasdaq Stock Market</v>
    <v>XNAS</v>
    <v>XNAS</v>
    <v>2485 Augustine Dr, SANTA CLARA, CA, 95054-3002 US</v>
    <v>120.41</v>
    <v>6</v>
    <v>Semiconductors &amp; Semiconductor Equipment</v>
    <v>Stock</v>
    <v>44648.999995370315</v>
    <v>7</v>
    <v>116.71</v>
    <v>195674367600</v>
    <v>ADVANCED MICRO DEVICES, INC.</v>
    <v>ADVANCED MICRO DEVICES, INC.</v>
    <v>117.7</v>
    <v>46.713999999999999</v>
    <v>119.67</v>
    <v>120.24</v>
    <v>1627365000</v>
    <v>AMD</v>
    <v>ADVANCED MICRO DEVICES, INC. (XNAS:AMD)</v>
    <v>55349</v>
    <v>111938513</v>
    <v>1969</v>
  </rv>
  <rv s="2">
    <v>8</v>
  </rv>
  <rv s="0">
    <v>http://en.wikipedia.org/wiki/Public_domain</v>
    <v>Public domain</v>
  </rv>
  <rv s="0">
    <v>http://en.wikipedia.org/wiki/The_Walt_Disney_Company</v>
    <v>Wikipedia</v>
  </rv>
  <rv s="3">
    <v>10</v>
    <v>11</v>
  </rv>
  <rv s="4">
    <v>10</v>
    <v>https://www.bing.com/th?id=AMMS_0aa288ba528f6f45e3de87d97e250136&amp;qlt=95</v>
    <v>12</v>
    <v>0</v>
    <v>https://www.bing.com/images/search?form=xlimg&amp;q=the+walt+disney+company</v>
    <v>Image of THE WALT DISNEY COMPANY</v>
  </rv>
  <rv s="0">
    <v>https://www.bing.com/financeapi/forcetrigger?t=a1r2z2&amp;q=XNYS%3aDIS&amp;form=skydnc</v>
    <v>Learn more on Bing</v>
  </rv>
  <rv s="5">
    <v>en-ID</v>
    <v>a1r2z2</v>
    <v>268435456</v>
    <v>1</v>
    <v>Powered by Refinitiv</v>
    <v>5</v>
    <v>THE WALT DISNEY COMPANY (XNYS:DIS)</v>
    <v>7</v>
    <v>8</v>
    <v>Finance</v>
    <v>9</v>
    <v>191.67</v>
    <v>128.38</v>
    <v>1.1612</v>
    <v>-0.42</v>
    <v>-3.019E-3</v>
    <v>USD</v>
    <v>The Walt Disney Company is a worldwide entertainment company. The Company operates in four business segments: Media Networks, Parks, Experiences and Products, Studio Entertainment, and Direct-To-Consumer (DTC) and International. The media networks segment includes cable and broadcast television networks, television production and distribution operations, domestic television stations, and radio networks and stations. The Company's Parks and Experiences include theme parks, resorts, Disney Cruise Line and Disney Vacation Club. The studio entertainment operations include motion picture production and distribution, development, production and licensing of live entertainment events, and music production and distribution. Its DTC businesses consist of subscription services that provide video streaming of general entertainment, family and sports programming. The Company's International Channels produce local programs or acquire rights from its domestic studios and from third parties.</v>
    <v>190000</v>
    <v>New York Stock Exchange</v>
    <v>XNYS</v>
    <v>XNYS</v>
    <v>500 S Buena Vista St, BURBANK, CA, 91521-0001 US</v>
    <v>139.62739999999999</v>
    <v>13</v>
    <v>Media &amp; Publishing</v>
    <v>Stock</v>
    <v>44648.999222060156</v>
    <v>14</v>
    <v>136.2816</v>
    <v>252558209760</v>
    <v>THE WALT DISNEY COMPANY</v>
    <v>THE WALT DISNEY COMPANY</v>
    <v>138.88</v>
    <v>80.623999999999995</v>
    <v>139.13999999999999</v>
    <v>138.72</v>
    <v>1820633000</v>
    <v>DIS</v>
    <v>THE WALT DISNEY COMPANY (XNYS:DIS)</v>
    <v>6044</v>
    <v>10062651</v>
    <v>2018</v>
  </rv>
  <rv s="2">
    <v>15</v>
  </rv>
  <rv s="0">
    <v>https://www.bing.com/financeapi/forcetrigger?t=a1vmf2&amp;q=XNAS%3aINTC&amp;form=skydnc</v>
    <v>Learn more on Bing</v>
  </rv>
  <rv s="6">
    <v>en-ID</v>
    <v>a1vmf2</v>
    <v>268435456</v>
    <v>1</v>
    <v>Powered by Refinitiv</v>
    <v>11</v>
    <v>INTEL CORPORATION (XNAS:INTC)</v>
    <v>2</v>
    <v>12</v>
    <v>Finance</v>
    <v>9</v>
    <v>68.489999999999995</v>
    <v>43.625</v>
    <v>0.55730000000000002</v>
    <v>-0.32</v>
    <v>-6.1739999999999998E-3</v>
    <v>USD</v>
    <v>Intel Corporation is engaged in designing and manufacturing products and technologies. The Company's segments include Client Computing Group (CCG), Data Center Group (DCG), Internet of Things Group (IOTG), Mobileye, Non-Volatile Memory Solutions Group (NSG) and Programmable Solutions Group (PSG). The CCG segment is focused on long-term operating system, system architecture, hardware, and application integration that enable PC experiences. The DCG segment develops workload-optimized platforms for compute, storage, and network functions. The IOTG segment develops high-performance compute platforms that solve the technology needs for business use cases that scale across vertical industries and embedded markets. The Mobileye segment provides driving assistance and self-driving solutions. The NSG segment provides memory and storage products based on Intel 3D NAND technology. The PSG segment offers programmable semiconductors, primarily FPGAs, structured ASICs, and related products.</v>
    <v>121100</v>
    <v>Nasdaq Stock Market</v>
    <v>XNAS</v>
    <v>XNAS</v>
    <v>2200 Mission College Blvd, SANTA CLARA, CA, 95054-1537 US</v>
    <v>51.57</v>
    <v>Semiconductors &amp; Semiconductor Equipment</v>
    <v>Stock</v>
    <v>44648.999819397657</v>
    <v>17</v>
    <v>50.56</v>
    <v>209697210000</v>
    <v>INTEL CORPORATION</v>
    <v>INTEL CORPORATION</v>
    <v>51.36</v>
    <v>10.6038</v>
    <v>51.83</v>
    <v>51.51</v>
    <v>4071000000</v>
    <v>INTC</v>
    <v>INTEL CORPORATION (XNAS:INTC)</v>
    <v>42701</v>
    <v>42259906</v>
    <v>1989</v>
  </rv>
  <rv s="2">
    <v>18</v>
  </rv>
  <rv s="0">
    <v>https://www.bing.com/financeapi/forcetrigger?t=ah4rhw&amp;q=XHKG%3a3988&amp;form=skydnc</v>
    <v>Learn more on Bing</v>
  </rv>
  <rv s="7">
    <v>en-ID</v>
    <v>ah4rhw</v>
    <v>268435456</v>
    <v>1</v>
    <v>Powered by Refinitiv</v>
    <v>13</v>
    <v>BANK OF CHINA LIMITED (XHKG:3988)</v>
    <v>2</v>
    <v>14</v>
    <v>Finance</v>
    <v>4</v>
    <v>3.2</v>
    <v>2.67</v>
    <v>0.74760000000000004</v>
    <v>0.02</v>
    <v>-1.3115000000000002E-2</v>
    <v>6.6010000000000001E-3</v>
    <v>-0.04</v>
    <v>HKD</v>
    <v>BANK OF CHINA LIMITED is a China-based commercial bank. The Bank is mainly engaged in the provision of banking and related financial services, including commercial banking business, investment banking business, insurance business, direct investments and investment management businesses, fund management business and aircraft leasing business, as well as others. The Company mainly provides loans to individual and corporate clients. The Bank mainly operates its businesses in China mainland, Hong Kong, Macau and Taiwan, as well as other countries.</v>
    <v>305594</v>
    <v>Hong Kong Stock Exchange</v>
    <v>XHKG</v>
    <v>XHKG</v>
    <v>No. 1 Fuxingmennei Avenue, Xicheng District, BEIJING, BEIJING, 100818 CN</v>
    <v>3.05</v>
    <v>Banking Services</v>
    <v>Stock</v>
    <v>44649.339085648149</v>
    <v>20</v>
    <v>3.02</v>
    <v>1230451000000</v>
    <v>BANK OF CHINA LIMITED</v>
    <v>BANK OF CHINA LIMITED</v>
    <v>3.04</v>
    <v>3.7</v>
    <v>3.03</v>
    <v>3.05</v>
    <v>3.01</v>
    <v>294585700000</v>
    <v>3988</v>
    <v>BANK OF CHINA LIMITED (XHKG:3988)</v>
    <v>212227770</v>
    <v>427070590</v>
    <v>1983</v>
  </rv>
  <rv s="2">
    <v>21</v>
  </rv>
  <rv s="0">
    <v>http://en.wikipedia.org/wiki/Qualcomm</v>
    <v>Wikipedia</v>
  </rv>
  <rv s="3">
    <v>10</v>
    <v>23</v>
  </rv>
  <rv s="4">
    <v>10</v>
    <v>https://www.bing.com/th?id=AMMS_2b1c176dae370ecc0d55a1517537f595&amp;qlt=95</v>
    <v>24</v>
    <v>0</v>
    <v>https://www.bing.com/images/search?form=xlimg&amp;q=qualcomm</v>
    <v>Image of QUALCOMM INCORPORATED</v>
  </rv>
  <rv s="0">
    <v>https://www.bing.com/financeapi/forcetrigger?t=a21k2w&amp;q=XNAS%3aQCOM&amp;form=skydnc</v>
    <v>Learn more on Bing</v>
  </rv>
  <rv s="5">
    <v>en-ID</v>
    <v>a21k2w</v>
    <v>268435456</v>
    <v>1</v>
    <v>Powered by Refinitiv</v>
    <v>5</v>
    <v>QUALCOMM INCORPORATED (XNAS:QCOM)</v>
    <v>7</v>
    <v>8</v>
    <v>Finance</v>
    <v>9</v>
    <v>193.58</v>
    <v>122.16500000000001</v>
    <v>1.2350000000000001</v>
    <v>0.48</v>
    <v>3.039E-3</v>
    <v>USD</v>
    <v>Qualcomm Incorporated is engaged in the development and commercialization of foundational technologies for the wireless industry. Its segments include Qualcomm CDMA Technologies (QCT), Qualcomm Technology Licensing (QTL) and Qualcomm Strategic Initiatives (QSI). QCT segment develops and supplies integrated circuits and system software based on third generation/fourth generation/fifth generation (3G/4G/5G) and other technologies for use in wireless voice and data communications, networking, computing, multimedia and global positioning system (GPS) products. QTL segment grants licenses or otherwise provides rights to use portions of its intellectual property portfolio, which, among other rights, includes certain patent rights essential to and/or useful in the manufacture, sale and/or use of certain wireless products, including, without limitation, products implementing CDMA2000, WCDMA, LTE and/or OFDMA-based 5G standards and their derivatives. QSI segment makes strategic investments.</v>
    <v>45000</v>
    <v>Nasdaq Stock Market</v>
    <v>XNAS</v>
    <v>XNAS</v>
    <v>5775 Morehouse Dr, SAN DIEGO, CA, 92121-1714 US</v>
    <v>158.5</v>
    <v>25</v>
    <v>Semiconductors &amp; Semiconductor Equipment</v>
    <v>Stock</v>
    <v>44648.999906411722</v>
    <v>26</v>
    <v>154.05000000000001</v>
    <v>178573150000</v>
    <v>QUALCOMM INCORPORATED</v>
    <v>QUALCOMM INCORPORATED</v>
    <v>156.5</v>
    <v>18.159500000000001</v>
    <v>157.97</v>
    <v>158.44999999999999</v>
    <v>1127000000</v>
    <v>QCOM</v>
    <v>QUALCOMM INCORPORATED (XNAS:QCOM)</v>
    <v>5868</v>
    <v>10198871</v>
    <v>1991</v>
  </rv>
  <rv s="2">
    <v>27</v>
  </rv>
  <rv s="0">
    <v>https://www.bing.com/financeapi/forcetrigger?t=a1slm7&amp;q=XNAS%3aFB&amp;form=skydnc</v>
    <v>Learn more on Bing</v>
  </rv>
  <rv s="6">
    <v>en-ID</v>
    <v>a1slm7</v>
    <v>268435456</v>
    <v>1</v>
    <v>Powered by Refinitiv</v>
    <v>11</v>
    <v>Meta Platforms, Inc. (XNAS:FB)</v>
    <v>2</v>
    <v>12</v>
    <v>Finance</v>
    <v>9</v>
    <v>384.33</v>
    <v>185.82</v>
    <v>1.3942000000000001</v>
    <v>1.77</v>
    <v>7.979E-3</v>
    <v>USD</v>
    <v>Meta Platforms Inc., formerly Facebook, Inc., is a social technology company. The Company is engaged in the products that enable people to connect and share with friends and family through mobile devices, personal computers, virtual reality (VR) headsets, wearables, and in-home devices. The Company operates through two segments: Family of Apps (FoA) and Reality Labs (RL). FoA includes Facebook, Instagram, Messenger, WhatsApp, and other services. RL includes augmented and virtual reality-related consumer hardware, software, and content. Facebook enables people to connect, share, discover and communicate with each other on mobile devices and personal computers. Instagram is a place where people can express themselves through photos, videos, and private messaging, and connect with and shop from their favorite businesses and creators. Messenger is a messaging application for people to connect with friends, family, groups, and businesses across platforms and devices.</v>
    <v>71970</v>
    <v>Nasdaq Stock Market</v>
    <v>XNAS</v>
    <v>XNAS</v>
    <v>1601 Willow Rd, MENLO PARK, CA, 94025 US</v>
    <v>224.04</v>
    <v>Software &amp; IT Services</v>
    <v>Stock</v>
    <v>44648.999666678123</v>
    <v>29</v>
    <v>219.54</v>
    <v>608599011780</v>
    <v>Meta Platforms, Inc.</v>
    <v>Meta Platforms, Inc.</v>
    <v>222.13</v>
    <v>16.210699999999999</v>
    <v>221.82</v>
    <v>223.59</v>
    <v>2721942000</v>
    <v>FB</v>
    <v>Meta Platforms, Inc. (XNAS:FB)</v>
    <v>32544</v>
    <v>34766175</v>
    <v>2004</v>
  </rv>
  <rv s="2">
    <v>30</v>
  </rv>
  <rv s="0">
    <v>https://www.bing.com/financeapi/forcetrigger?t=a1otrw&amp;q=XNYS%3aBRK.B&amp;form=skydnc</v>
    <v>Learn more on Bing</v>
  </rv>
  <rv s="6">
    <v>en-ID</v>
    <v>a1otrw</v>
    <v>268435456</v>
    <v>1</v>
    <v>Powered by Refinitiv</v>
    <v>11</v>
    <v>BERKSHIRE HATHAWAY INC. (XNYS:BRK.B)</v>
    <v>2</v>
    <v>12</v>
    <v>Finance</v>
    <v>9</v>
    <v>361.38</v>
    <v>253.3</v>
    <v>0.86099999999999999</v>
    <v>0.81</v>
    <v>2.258E-3</v>
    <v>USD</v>
    <v>Berkshire Hathaway Inc. is a holding company owning subsidiaries engaged in various business activities, including insurance and reinsurance, utilities and energy, freight rail transportation, manufacturing and retailing. Its segments include Insurance, such as GEICO, Berkshire Hathaway Primary Group and Berkshire Hathaway Reinsurance Group; Burlington Northern Santa Fe, LLC, which is engaged in the operation of the railroad system; Berkshire Hathaway Energy, which includes regulated electric and gas utility; Manufacturing, which includes manufacturers of various products, including industrial, consumer and building products; McLane Company, which is engaged in the wholesale distribution of groceries and non-food items; Service and retailing, which includes providers of various services, such as shared aircraft ownership programs, aviation pilot training, electronic components distribution and various retailing businesses, including automobile dealerships and furniture leasing.</v>
    <v>372000</v>
    <v>New York Stock Exchange</v>
    <v>XNYS</v>
    <v>XNYS</v>
    <v>3555 Farnam St, OMAHA, NE, 68131-3311 US</v>
    <v>361.38</v>
    <v>Consumer Goods Conglomerates</v>
    <v>Stock</v>
    <v>44648.999897430469</v>
    <v>32</v>
    <v>355.53</v>
    <v>793239100000</v>
    <v>BERKSHIRE HATHAWAY INC.</v>
    <v>BERKSHIRE HATHAWAY INC.</v>
    <v>360.59</v>
    <v>19.854800000000001</v>
    <v>358.76</v>
    <v>359.57</v>
    <v>1473110</v>
    <v>BRK.B</v>
    <v>BERKSHIRE HATHAWAY INC. (XNYS:BRK.B)</v>
    <v>4661</v>
    <v>5960362</v>
    <v>1998</v>
  </rv>
  <rv s="2">
    <v>33</v>
  </rv>
  <rv s="0">
    <v>https://www.bing.com/financeapi/forcetrigger?t=amzx9c&amp;q=XSWX%3aDAL&amp;form=skydnc</v>
    <v>Learn more on Bing</v>
  </rv>
  <rv s="6">
    <v>en-ID</v>
    <v>amzx9c</v>
    <v>268435456</v>
    <v>1</v>
    <v>Powered by Refinitiv</v>
    <v>11</v>
    <v>DELTA AIR LINES, INC. (XSWX:DAL)</v>
    <v>2</v>
    <v>15</v>
    <v>Finance</v>
    <v>16</v>
    <v>55.93</v>
    <v>55.93</v>
    <v>1.1991000000000001</v>
    <v>-1.7</v>
    <v>-2.9499000000000001E-2</v>
    <v>CHF</v>
    <v>Delta Air Lines, Inc. provides scheduled air transportation for passengers and cargo throughout the United States and across the globe. The Company's segments include Airline and Refinery. The Company has hubs and market presence in Amsterdam, London-Heathrow, Mexico City, Paris-Charles de Gaulle and Seoul-Incheon. Its airline segment is managed as a single business unit that provides scheduled air transportation for passengers and cargo throughout the United States and around the world and includes its loyalty program, as well as other ancillary airline services. Its refinery segment operates for the benefit of the airline segment by providing jet fuel to the airline segment from its own production and through jet fuel obtained through agreements with third parties. The refinery's production consists of jet fuel, as well as non-jet fuel products. It also maintains complementary portfolio businesses, such as its cargo business and its Maintenance, Repair and Overhaul (MRO) operation.</v>
    <v>83000</v>
    <v>SIX Swiss Exchange</v>
    <v>XSWX</v>
    <v>XSWX</v>
    <v>1030 Delta Blvd, ATLANTA, GA, 30354-1989 US</v>
    <v>55.93</v>
    <v>Passenger Transportation Services</v>
    <v>Stock</v>
    <v>43629.646365740744</v>
    <v>35</v>
    <v>55.93</v>
    <v>31160700000</v>
    <v>DELTA AIR LINES, INC.</v>
    <v>DELTA AIR LINES, INC.</v>
    <v>55.93</v>
    <v>147.1842</v>
    <v>57.63</v>
    <v>55.93</v>
    <v>639929700</v>
    <v>DAL</v>
    <v>DELTA AIR LINES, INC. (XSWX:DAL)</v>
    <v>10</v>
    <v>17007800</v>
    <v>1967</v>
  </rv>
  <rv s="2">
    <v>36</v>
  </rv>
  <rv s="0">
    <v>http://pl.wikipedia.org/wiki/Royal_Caribbean_Cruises</v>
    <v>Wikipedia</v>
  </rv>
  <rv s="3">
    <v>3</v>
    <v>38</v>
  </rv>
  <rv s="4">
    <v>10</v>
    <v>https://www.bing.com/th?id=AMMS_f4ea6301fdf69ed2dcd58fe16e50918e&amp;qlt=95</v>
    <v>39</v>
    <v>0</v>
    <v>https://www.bing.com/images/search?form=xlimg&amp;q=royal+caribbean+cruises+ltd.</v>
    <v>Image of ROYAL CARIBBEAN CRUISES LTD.</v>
  </rv>
  <rv s="0">
    <v>https://www.bing.com/financeapi/forcetrigger?t=a21rw7&amp;q=XNYS%3aRCL&amp;form=skydnc</v>
    <v>Learn more on Bing</v>
  </rv>
  <rv s="5">
    <v>en-ID</v>
    <v>a21rw7</v>
    <v>268435456</v>
    <v>1</v>
    <v>Powered by Refinitiv</v>
    <v>5</v>
    <v>ROYAL CARIBBEAN CRUISES LTD. (XNYS:RCL)</v>
    <v>7</v>
    <v>8</v>
    <v>Finance</v>
    <v>17</v>
    <v>98.27</v>
    <v>61.45</v>
    <v>2.5017</v>
    <v>1.6</v>
    <v>2.0794999999999998E-2</v>
    <v>USD</v>
    <v>Royal Caribbean Cruises Ltd. is a cruise company that owns and operates three global cruise vacation brands, including Royal Caribbean International, Celebrity Cruises and Silversea Cruises. The Company also own joint venture interest in the TUI Cruises and Hapag-Lloyd Cruises. The Company's brands operate approximately 61 ships in the cruise vacation industry. Royal Caribbean International offers a range of itineraries to the destinations, including Alaska, Asia, Australia, Bahamas, Bermuda, Canada, the Caribbean, Europe, the Panama Canal and New Zealand, with cruise lengths ranging from one to 25 nights. Celebrity Cruises include two approximately Edge-class ships, Celebrity Beyond and Celebrity Ascent. Silversea Cruises operates the Silver Dawn under a finance lease. The Company offers to handle virtually all travel aspects related to guest reservations and transportation, including arranging guest pre and post hotel stay arrangements and air transportation.</v>
    <v>85000</v>
    <v>New York Stock Exchange</v>
    <v>XNYS</v>
    <v>XNYS</v>
    <v>1050 Caribbean Way, MIAMI, FL, 33132-2028 US</v>
    <v>78.760000000000005</v>
    <v>40</v>
    <v>Hotels &amp; Entertainment Services</v>
    <v>Stock</v>
    <v>44648.996923125</v>
    <v>41</v>
    <v>76.900000000000006</v>
    <v>20027919912</v>
    <v>ROYAL CARIBBEAN CRUISES LTD.</v>
    <v>ROYAL CARIBBEAN CRUISES LTD.</v>
    <v>77.290000000000006</v>
    <v>0</v>
    <v>76.94</v>
    <v>78.540000000000006</v>
    <v>255002800</v>
    <v>RCL</v>
    <v>ROYAL CARIBBEAN CRUISES LTD. (XNYS:RCL)</v>
    <v>1321</v>
    <v>4420332</v>
    <v>1985</v>
  </rv>
  <rv s="2">
    <v>42</v>
  </rv>
  <rv s="0">
    <v>https://www.bing.com/financeapi/forcetrigger?t=bvae7w&amp;q=XNAS%3aLI&amp;form=skydnc</v>
    <v>Learn more on Bing</v>
  </rv>
  <rv s="8">
    <v>en-ID</v>
    <v>bvae7w</v>
    <v>268435456</v>
    <v>1</v>
    <v>Powered by Refinitiv</v>
    <v>18</v>
    <v>Li Auto Inc. (XNAS:LI)</v>
    <v>2</v>
    <v>19</v>
    <v>Finance</v>
    <v>9</v>
    <v>37.450000000000003</v>
    <v>15.98</v>
    <v>0.08</v>
    <v>3.0299999999999997E-3</v>
    <v>USD</v>
    <v>Li Auto Inc is a China-based new energy passenger vehicles (NEV) automaker principally engaged in the design, develop, manufacture and sales of smart electric vehicles. The Company's primary products are sport utility vehicles (SUVs) under its brand Li ONE. It also sells peripheral products and provides related services, such as charging stalls, vehicle Internet connection services and extended lifetime warranties. The Company operates its businesses through its subsidiaries and variable interest entities (VIEs) in China.</v>
    <v>4181</v>
    <v>Nasdaq Stock Market</v>
    <v>XNAS</v>
    <v>XNAS</v>
    <v>8th Floor, Block D, Building 8, 4th District of Wangjing East Garden, BEIJING, BEIJING, 100102 CN</v>
    <v>27.31</v>
    <v>Automobiles &amp; Auto Parts</v>
    <v>Stock</v>
    <v>44648.999695625003</v>
    <v>44</v>
    <v>25.754999999999999</v>
    <v>27066160000</v>
    <v>Li Auto Inc.</v>
    <v>Li Auto Inc.</v>
    <v>26.77</v>
    <v>26.4</v>
    <v>26.48</v>
    <v>1032858000</v>
    <v>LI</v>
    <v>Li Auto Inc. (XNAS:LI)</v>
    <v>13473</v>
    <v>14010670</v>
  </rv>
  <rv s="2">
    <v>45</v>
  </rv>
  <rv s="0">
    <v>https://www.bing.com/financeapi/forcetrigger?t=a24kar&amp;q=XNAS%3aTSLA&amp;form=skydnc</v>
    <v>Learn more on Bing</v>
  </rv>
  <rv s="6">
    <v>en-ID</v>
    <v>a24kar</v>
    <v>268435456</v>
    <v>1</v>
    <v>Powered by Refinitiv</v>
    <v>11</v>
    <v>TESLA, INC. (XNAS:TSLA)</v>
    <v>2</v>
    <v>12</v>
    <v>Finance</v>
    <v>9</v>
    <v>1243.49</v>
    <v>546.98</v>
    <v>2.0649000000000002</v>
    <v>81.2</v>
    <v>8.0345E-2</v>
    <v>USD</v>
    <v>Tesla, Inc. designs, develops, manufactures, sells and leases fully electric vehicles and energy generation and storage systems, and offer services related to its products. The Company's automotive segment includes the design, development, manufacturing, sales, and leasing of electric vehicles as well as sales of automotive regulatory credits. Additionally, the automotive segment is also comprised of services and other, which includes non-warranty after-sales vehicle services, sales of used vehicles, retail merchandise, sales by its acquired subsidiaries to third party customers, and vehicle insurance. Its energy generation and storage segment includes the design, manufacture, installation, sales and leasing of solar energy generation and energy storage products and related services and sales of solar energy systems incentives. Its automotive products include Model 3, Model Y, Model S and Model X. Powerwall and Megapack are its lithium-ion battery energy storage products.</v>
    <v>99290</v>
    <v>Nasdaq Stock Market</v>
    <v>XNAS</v>
    <v>XNAS</v>
    <v>13101 Harold Green Road, AUSTIN, TX, 78725 US</v>
    <v>1097.8798999999999</v>
    <v>Automobiles &amp; Auto Parts</v>
    <v>Stock</v>
    <v>44648.999985751565</v>
    <v>47</v>
    <v>1053.5999999999999</v>
    <v>1044504000000</v>
    <v>TESLA, INC.</v>
    <v>TESLA, INC.</v>
    <v>1065.0999999999999</v>
    <v>221.84569999999999</v>
    <v>1010.64</v>
    <v>1091.8399999999999</v>
    <v>1033508000</v>
    <v>TSLA</v>
    <v>TESLA, INC. (XNAS:TSLA)</v>
    <v>326723</v>
    <v>26692251</v>
    <v>2003</v>
  </rv>
  <rv s="2">
    <v>48</v>
  </rv>
  <rv s="0">
    <v>https://www.bing.com/financeapi/forcetrigger?t=a1o3nm&amp;q=XNYS%3aAYX&amp;form=skydnc</v>
    <v>Learn more on Bing</v>
  </rv>
  <rv s="6">
    <v>en-ID</v>
    <v>a1o3nm</v>
    <v>268435456</v>
    <v>1</v>
    <v>Powered by Refinitiv</v>
    <v>11</v>
    <v>ALTERYX, INC. (XNYS:AYX)</v>
    <v>2</v>
    <v>12</v>
    <v>Finance</v>
    <v>17</v>
    <v>90.57</v>
    <v>49.67</v>
    <v>0.64670000000000005</v>
    <v>1.93</v>
    <v>2.7869999999999999E-2</v>
    <v>USD</v>
    <v>Alteryx Inc. is a self-service data analytics software company that provides a subscription-based platform, enabling organizations to prepare, blend and analyze data from multitude sources and ease data-driven decisions. The Company’s platform is comprised of Alteryx Designer, Alteryx Server, Alteryx Connect, Alteryx Promote and Alteryx Intelligence Suite. The Company democratizes access to data-driven insights to all data workers, business analysts, programmers and data scientists by expanding the capabilities and analytical sophistications. The Company’s platform allows business analysts to view underlying data, meta-data and applied analytics at any stage during the process. The Company’s platform is designed to interact with a wide variety of traditional data sources. Its platform is also capable of processing data from cloud applications, such as Google Analytics, Marketo, NetSuite, salesforce.com, and Workday, as well as social media platforms, such as Facebook and Twitter.</v>
    <v>2000</v>
    <v>New York Stock Exchange</v>
    <v>XNYS</v>
    <v>XNYS</v>
    <v>17200 LAGUNA CANYON ROAD, IRVINE, CA, 92618 US</v>
    <v>71.22</v>
    <v>Software &amp; IT Services</v>
    <v>Stock</v>
    <v>44648.958333356248</v>
    <v>50</v>
    <v>68.69</v>
    <v>4814377458</v>
    <v>ALTERYX, INC.</v>
    <v>ALTERYX, INC.</v>
    <v>69.59</v>
    <v>0</v>
    <v>69.25</v>
    <v>71.180000000000007</v>
    <v>67636660</v>
    <v>AYX</v>
    <v>ALTERYX, INC. (XNYS:AYX)</v>
    <v>704352</v>
    <v>1040051</v>
    <v>2011</v>
  </rv>
  <rv s="2">
    <v>51</v>
  </rv>
  <rv s="0">
    <v>https://www.bing.com/financeapi/forcetrigger?t=a1o4mw&amp;q=XNYS%3aBABA&amp;form=skydnc</v>
    <v>Learn more on Bing</v>
  </rv>
  <rv s="6">
    <v>en-ID</v>
    <v>a1o4mw</v>
    <v>268435456</v>
    <v>1</v>
    <v>Powered by Refinitiv</v>
    <v>11</v>
    <v>Alibaba Group Holding Limited (XNYS:BABA)</v>
    <v>2</v>
    <v>12</v>
    <v>Finance</v>
    <v>9</v>
    <v>245.69</v>
    <v>73.28</v>
    <v>0.89510000000000001</v>
    <v>2.1</v>
    <v>1.8586000000000002E-2</v>
    <v>USD</v>
    <v>Alibaba Group Holding Ltd is a holding company that provides the technology infrastructure and marketing reach to help merchants, brands and other businesses to leverage the power of new technology to engage with users and customers to operate. The Company operates four business segments. The Core Commerce segment provides China retail, China wholesale, International retail, International wholesale, Cainiao logistics services and local consumer services through Taobao Marketplace and Tmall. The Cloud Computing segment provides complete suite of cloud services, including database, storage, network virtualization services, big data analytics and others. The Digital Media and Entertainment segment provides consumer services beyond the core business operations. The Innovation Initiatives and Others segment is to innovate and deliver new services and products.</v>
    <v>259316</v>
    <v>New York Stock Exchange</v>
    <v>XNYS</v>
    <v>XNYS</v>
    <v>No. 699 Wangshang Road, Binjiang District, HANGZHOU, ZHEJIANG, 310052 CN</v>
    <v>116.23</v>
    <v>Software &amp; IT Services</v>
    <v>Stock</v>
    <v>44648.999989652344</v>
    <v>53</v>
    <v>111.92</v>
    <v>307185000000</v>
    <v>Alibaba Group Holding Limited</v>
    <v>Alibaba Group Holding Limited</v>
    <v>113.86</v>
    <v>30.642099999999999</v>
    <v>112.99</v>
    <v>115.09</v>
    <v>2718179000</v>
    <v>BABA</v>
    <v>Alibaba Group Holding Limited (XNYS:BABA)</v>
    <v>60918</v>
    <v>47391662</v>
    <v>1999</v>
  </rv>
  <rv s="2">
    <v>54</v>
  </rv>
  <rv s="0">
    <v>https://www.bing.com/financeapi/forcetrigger?t=a22nlh&amp;q=XNYS%3aSCI&amp;form=skydnc</v>
    <v>Learn more on Bing</v>
  </rv>
  <rv s="6">
    <v>en-ID</v>
    <v>a22nlh</v>
    <v>268435456</v>
    <v>1</v>
    <v>Powered by Refinitiv</v>
    <v>11</v>
    <v>SERVICE CORPORATION INTERNATIONAL (XNYS:SCI)</v>
    <v>2</v>
    <v>12</v>
    <v>Finance</v>
    <v>17</v>
    <v>71.708100000000002</v>
    <v>50.49</v>
    <v>0.77329999999999999</v>
    <v>-0.32</v>
    <v>-4.914E-3</v>
    <v>USD</v>
    <v>Service Corporation International is a provider of deathcare products and services, with a network of funeral service locations and cemeteries operating in the United States and Canada. Its funeral service and cemetery operations consist of funeral service locations, cemeteries, funeral service/cemetery combination locations, crematoria, and other related businesses. It sells cemetery property and funeral and cemetery merchandise and services at the time of need and on a preneed basis. Its Funeral service locations provide professional services relating to funerals and cremations, including the use of funeral facilities and motor vehicles, arranging and directing services, removal, preparation, embalming, cremations, memorialization, travel protection, and catering. Its cemeteries provide cemetery property interment rights, including developed lots, lawn crypts, mausoleum spaces, niches, and other cremation memorialization and interment options.</v>
    <v>17022</v>
    <v>New York Stock Exchange</v>
    <v>XNYS</v>
    <v>XNYS</v>
    <v>1929 Allen Pkwy, PO Box 130548, HOUSTON, TX, 77019-2506 US</v>
    <v>65.367599999999996</v>
    <v>Personal &amp; Household Products &amp; Services</v>
    <v>Stock</v>
    <v>44648.968146469531</v>
    <v>56</v>
    <v>64.400000000000006</v>
    <v>10517380000</v>
    <v>SERVICE CORPORATION INTERNATIONAL</v>
    <v>SERVICE CORPORATION INTERNATIONAL</v>
    <v>65.28</v>
    <v>13.729799999999999</v>
    <v>65.12</v>
    <v>64.8</v>
    <v>161507600</v>
    <v>SCI</v>
    <v>SERVICE CORPORATION INTERNATIONAL (XNYS:SCI)</v>
    <v>5</v>
    <v>961760</v>
    <v>1962</v>
  </rv>
  <rv s="2">
    <v>57</v>
  </rv>
  <rv s="0">
    <v>https://www.bing.com/financeapi/forcetrigger?t=bvg8m7&amp;q=XNYS%3aXPEV&amp;form=skydnc</v>
    <v>Learn more on Bing</v>
  </rv>
  <rv s="9">
    <v>en-ID</v>
    <v>bvg8m7</v>
    <v>268435456</v>
    <v>1</v>
    <v>Powered by Refinitiv</v>
    <v>20</v>
    <v>XPENG INC. (XNYS:XPEV)</v>
    <v>2</v>
    <v>21</v>
    <v>Finance</v>
    <v>9</v>
    <v>56.45</v>
    <v>18.010000000000002</v>
    <v>0.08</v>
    <v>2.957E-3</v>
    <v>USD</v>
    <v>Xpeng Inc is a China-based company engaged in design, development, production and sales of smart electric vehicles (Smart EV). The Company's primary products are environmentally friendly vehicles, namely an SUV (the G3) and a four-door sports sedan (the P7). The Company’s Smart EVs primarily target the mid- to high-end segment in China’s passenger vehicle market. The Company aims developing full-stack autonomous driving technology, in-car intelligent operating system and core vehicle systems in-house through the its proprietary software, core hardware and data technologies. The Company sells its vehicle products under the brand Xpeng. It also provides a range of services to the clients, including supercharging service, maintenance service, ride-hailing service and vehicle leasing service.</v>
    <v>5084</v>
    <v>New York Stock Exchange</v>
    <v>XNYS</v>
    <v>XNYS</v>
    <v>No. 8 Songgang Road, Changxing Street, Cencun, Tianhe District, GUANGZHOU, GUANGDONG, 510640 CN</v>
    <v>28.16</v>
    <v>Automobiles &amp; Auto Parts</v>
    <v>Stock</v>
    <v>44648.999993217185</v>
    <v>59</v>
    <v>26.08</v>
    <v>23170410000</v>
    <v>XPENG INC.</v>
    <v>XPENG INC.</v>
    <v>27.38</v>
    <v>0</v>
    <v>27.05</v>
    <v>27.13</v>
    <v>428207800</v>
    <v>XPEV</v>
    <v>XPENG INC. (XNYS:XPEV)</v>
    <v>95386</v>
    <v>16438734</v>
    <v>2018</v>
  </rv>
  <rv s="2">
    <v>60</v>
  </rv>
  <rv s="0">
    <v>http://en.wikipedia.org/wiki/Lyft</v>
    <v>Wikipedia</v>
  </rv>
  <rv s="3">
    <v>10</v>
    <v>62</v>
  </rv>
  <rv s="4">
    <v>10</v>
    <v>https://www.bing.com/th?id=AMMS_45f20a038304e80117ca1eb26716c023&amp;qlt=95</v>
    <v>63</v>
    <v>0</v>
    <v>https://www.bing.com/images/search?form=xlimg&amp;q=lyft</v>
    <v>Image of LYFT, INC.</v>
  </rv>
  <rv s="0">
    <v>https://www.bing.com/financeapi/forcetrigger?t=b6m84c&amp;q=XNAS%3aLYFT&amp;form=skydnc</v>
    <v>Learn more on Bing</v>
  </rv>
  <rv s="10">
    <v>en-ID</v>
    <v>b6m84c</v>
    <v>268435456</v>
    <v>1</v>
    <v>Powered by Refinitiv</v>
    <v>22</v>
    <v>LYFT, INC. (XNAS:LYFT)</v>
    <v>7</v>
    <v>23</v>
    <v>Finance</v>
    <v>17</v>
    <v>65.94</v>
    <v>33.94</v>
    <v>0.08</v>
    <v>2.1329999999999999E-3</v>
    <v>USD</v>
    <v>Lyft, Inc. owns and operates multimodal transportation networks in the United States and Canada that offer access to a variety of transportation options through the Company’s platform and mobile-based applications. Its Lyft platform offers a ridesharing marketplace, which connects drivers with riders to provide car sharing and transportation services via the Lyft mobile. The Company provides Light Vehicles, drivers renting vehicles through Express Drive, Lyft Rentals renters, Lyft Driver Center and Lyft Auto Care users. The Company's transportation network brings together rideshare, bikes, scooters, car rentals and transit all in one app.</v>
    <v>4453</v>
    <v>Nasdaq Stock Market</v>
    <v>XNAS</v>
    <v>XNAS</v>
    <v>185 Berry St Ste 5000, SAN FRANCISCO, CA, 94107-2503 US</v>
    <v>37.83</v>
    <v>64</v>
    <v>Software &amp; IT Services</v>
    <v>Stock</v>
    <v>44648.99879045078</v>
    <v>65</v>
    <v>36.5</v>
    <v>13074390000</v>
    <v>LYFT, INC.</v>
    <v>LYFT, INC.</v>
    <v>37.54</v>
    <v>37.51</v>
    <v>37.590000000000003</v>
    <v>348557300</v>
    <v>LYFT</v>
    <v>LYFT, INC. (XNAS:LYFT)</v>
    <v>135</v>
    <v>5930185</v>
    <v>2007</v>
  </rv>
  <rv s="2">
    <v>66</v>
  </rv>
  <rv s="0">
    <v>https://www.bing.com/financeapi/forcetrigger?t=bwio5r&amp;q=XNYS%3aLU&amp;form=skydnc</v>
    <v>Learn more on Bing</v>
  </rv>
  <rv s="9">
    <v>en-ID</v>
    <v>bwio5r</v>
    <v>268435456</v>
    <v>1</v>
    <v>Powered by Refinitiv</v>
    <v>20</v>
    <v>LUFAX HOLDING LTD (XNYS:LU)</v>
    <v>2</v>
    <v>21</v>
    <v>Finance</v>
    <v>17</v>
    <v>14.97</v>
    <v>4.085</v>
    <v>-0.02</v>
    <v>-3.3219999999999999E-3</v>
    <v>USD</v>
    <v>Lufax Holding Ltd is a holding company engaged in operating a personal financial services platform in China. The Company is engaged in two major businesses which are retail credit facilitation and wealth management. The retail credit facilitation business is designed to address personal lending for small business owners and salaried workers. The wealth management business provides related services for middle class and affluent population through its online platform. The Company operates its businesses through its subsidiaries.</v>
    <v>87240</v>
    <v>New York Stock Exchange</v>
    <v>XNYS</v>
    <v>XNYS</v>
    <v>No. 1333 Lujiazui Ring Road 15/F, Pudong New District, SHANGHAI, SHANGHAI, 200120 CN</v>
    <v>6.09</v>
    <v>Financial Technology (Fintech) &amp; Infrastructure</v>
    <v>Stock</v>
    <v>44648.990334733593</v>
    <v>68</v>
    <v>5.9</v>
    <v>14687700000</v>
    <v>LUFAX HOLDING LTD</v>
    <v>LUFAX HOLDING LTD</v>
    <v>6.04</v>
    <v>5.5602999999999998</v>
    <v>6.02</v>
    <v>6</v>
    <v>4878713000</v>
    <v>LU</v>
    <v>LUFAX HOLDING LTD (XNYS:LU)</v>
    <v>231</v>
    <v>15213053</v>
    <v>2014</v>
  </rv>
  <rv s="2">
    <v>69</v>
  </rv>
  <rv s="0">
    <v>http://en.wikipedia.org/wiki/AT&amp;T</v>
    <v>Wikipedia</v>
  </rv>
  <rv s="3">
    <v>10</v>
    <v>71</v>
  </rv>
  <rv s="4">
    <v>10</v>
    <v>https://www.bing.com/th?id=AMMS_22edc37b3d4ca713a66f23973844e621&amp;qlt=95</v>
    <v>72</v>
    <v>0</v>
    <v>https://www.bing.com/images/search?form=xlimg&amp;q=at%26t</v>
    <v>Image of AT&amp;T INC.</v>
  </rv>
  <rv s="0">
    <v>https://www.bing.com/financeapi/forcetrigger?t=a23www&amp;q=XNYS%3aT&amp;form=skydnc</v>
    <v>Learn more on Bing</v>
  </rv>
  <rv s="5">
    <v>en-ID</v>
    <v>a23www</v>
    <v>268435456</v>
    <v>1</v>
    <v>Powered by Refinitiv</v>
    <v>5</v>
    <v>AT&amp;T INC. (XNYS:T)</v>
    <v>7</v>
    <v>8</v>
    <v>Finance</v>
    <v>9</v>
    <v>33.880000000000003</v>
    <v>22.02</v>
    <v>0.64900000000000002</v>
    <v>0.03</v>
    <v>1.258E-3</v>
    <v>USD</v>
    <v>AT&amp;T Inc. is a holding company. The Company is a provider of telecommunications, media and technology services globally. The Company operates through three segments: Communication segment, WarnerMedia segment, and Latin America segment. The Communications segment provides wireless and wireline telecom, video and broadband services to consumers. The business units of the Communication segment includes Mobility, Business Wireline and Consumer Wireline. Business Wireline provides advanced IP-based services, traditional voice and data services. The WarnerMedia segment develops, produces and distributes feature films, television, gaming and other content over various physical and digital formats. WarnerMedia segment also includes Xandr that provides advertising services. Latin America segment provides entertainment and wireless services outside of the United States. Mexico is the business unit of the Latin America segment that provides wireless service and equipment to customers in Mexico.</v>
    <v>203000</v>
    <v>New York Stock Exchange</v>
    <v>XNYS</v>
    <v>XNYS</v>
    <v>208 S Akard St, DALLAS, TX, 75202 US</v>
    <v>24.07</v>
    <v>73</v>
    <v>Telecommunications Services</v>
    <v>Stock</v>
    <v>44648.998385068749</v>
    <v>74</v>
    <v>23.71</v>
    <v>170500855910</v>
    <v>AT&amp;T INC.</v>
    <v>AT&amp;T INC.</v>
    <v>24</v>
    <v>8.6349</v>
    <v>23.84</v>
    <v>23.87</v>
    <v>7142893000</v>
    <v>T</v>
    <v>AT&amp;T INC. (XNYS:T)</v>
    <v>4191</v>
    <v>42084042</v>
    <v>1983</v>
  </rv>
  <rv s="2">
    <v>75</v>
  </rv>
  <rv s="0">
    <v>http://en.wikipedia.org/wiki/Goldman_Sachs</v>
    <v>Wikipedia</v>
  </rv>
  <rv s="3">
    <v>10</v>
    <v>77</v>
  </rv>
  <rv s="4">
    <v>10</v>
    <v>https://www.bing.com/th?id=AMMS_2f362d8bafa3276f41a517a3b845586a&amp;qlt=95</v>
    <v>78</v>
    <v>0</v>
    <v>https://www.bing.com/images/search?form=xlimg&amp;q=goldman+sachs</v>
    <v>Image of THE GOLDMAN SACHS GROUP, INC.</v>
  </rv>
  <rv s="0">
    <v>https://www.bing.com/financeapi/forcetrigger?t=a1u7xm&amp;q=XNYS%3aGS&amp;form=skydnc</v>
    <v>Learn more on Bing</v>
  </rv>
  <rv s="5">
    <v>en-ID</v>
    <v>a1u7xm</v>
    <v>268435456</v>
    <v>1</v>
    <v>Powered by Refinitiv</v>
    <v>5</v>
    <v>THE GOLDMAN SACHS GROUP, INC. (XNYS:GS)</v>
    <v>7</v>
    <v>8</v>
    <v>Finance</v>
    <v>9</v>
    <v>426.15820000000002</v>
    <v>317.72000000000003</v>
    <v>1.4599</v>
    <v>-2.19</v>
    <v>-6.489E-3</v>
    <v>USD</v>
    <v>The Goldman Sachs Group, Inc. is a global financial institution that delivers a range of financial services across investment banking, securities, investment management and consumer banking to a diversified client base that includes corporations, financial institutions, governments and individuals. The Company operates in four business segments: Investment Banking, Global Markets, Asset Management, and Consumer &amp; Wealth Management. The Investment Banking segment consists of financial advisory, underwriting and corporate lending activities. The Global Markets segment consists of fixed income, currency and commodities (FICC) and equities, and intermediation and financing activities. The Asset Management segment provides investment services to help clients preserve and grow their financial assets. Consumer &amp; Wealth Management segment provides a range of wealth advisory and banking services, including financial planning, investment management, deposit taking and lending.</v>
    <v>43900</v>
    <v>New York Stock Exchange</v>
    <v>XNYS</v>
    <v>XNYS</v>
    <v>200 West St, NEW YORK, NY, 10282-2102 US</v>
    <v>338.5</v>
    <v>79</v>
    <v>Investment Banking &amp; Investment Services</v>
    <v>Stock</v>
    <v>44648.999605092191</v>
    <v>80</v>
    <v>331.51</v>
    <v>113306252500</v>
    <v>THE GOLDMAN SACHS GROUP, INC.</v>
    <v>THE GOLDMAN SACHS GROUP, INC.</v>
    <v>338.15</v>
    <v>5.649</v>
    <v>337.49</v>
    <v>335.3</v>
    <v>337925000</v>
    <v>GS</v>
    <v>THE GOLDMAN SACHS GROUP, INC. (XNYS:GS)</v>
    <v>293</v>
    <v>3112575</v>
    <v>1998</v>
  </rv>
  <rv s="2">
    <v>81</v>
  </rv>
  <rv s="0">
    <v>https://www.bing.com/financeapi/forcetrigger?t=ah2ooc&amp;q=XHKG%3a1398&amp;form=skydnc</v>
    <v>Learn more on Bing</v>
  </rv>
  <rv s="7">
    <v>en-ID</v>
    <v>ah2ooc</v>
    <v>268435456</v>
    <v>1</v>
    <v>Powered by Refinitiv</v>
    <v>13</v>
    <v>INDUSTRIAL AND COMMERCIAL BANK OF CHINA LIMITED (XHKG:1398)</v>
    <v>2</v>
    <v>14</v>
    <v>Finance</v>
    <v>4</v>
    <v>5.63</v>
    <v>4.08</v>
    <v>0.7681</v>
    <v>0.03</v>
    <v>0</v>
    <v>6.3970000000000008E-3</v>
    <v>0</v>
    <v>HKD</v>
    <v>Industrial and Commercial Bank of China Ltd is a China-based company principally engaged in the provision of banking and related financial services. The Bank mainly operates three segments, including Corporate Banking segment, Personal Banking segment and Treasury segment. The Corporate Banking segment provides loan, trade financing, deposit, corporate finance, custody and other related financial products and services to enterprises, government agencies and financial institutions. The Personal Banking segment provides loan, deposit, bank card, personal finance and other related financial products and services to individual customers. Treasury segment includes money markets business, securities investment business, self and valet foreign exchange trading and derivative financial instruments business. The Company conducts its businesses within domestic and overseas markets.</v>
    <v>430335</v>
    <v>Hong Kong Stock Exchange</v>
    <v>XHKG</v>
    <v>XHKG</v>
    <v>No. 55 Fuxingmennei Avenue, Xicheng District, BEIJING, BEIJING, 100140 CN</v>
    <v>4.72</v>
    <v>Banking Services</v>
    <v>Stock</v>
    <v>44649.339085648149</v>
    <v>83</v>
    <v>4.66</v>
    <v>2075235000000</v>
    <v>INDUSTRIAL AND COMMERCIAL BANK OF CHINA LIMITED</v>
    <v>INDUSTRIAL AND COMMERCIAL BANK OF CHINA LIMITED</v>
    <v>4.6900000000000004</v>
    <v>4.29</v>
    <v>4.6900000000000004</v>
    <v>4.72</v>
    <v>4.72</v>
    <v>356551300000</v>
    <v>1398</v>
    <v>INDUSTRIAL AND COMMERCIAL BANK OF CHINA LIMITED (XHKG:1398)</v>
    <v>168733498</v>
    <v>290998880</v>
    <v>1985</v>
  </rv>
  <rv s="2">
    <v>84</v>
  </rv>
  <rv s="0">
    <v>https://www.bing.com/financeapi/forcetrigger?t=a1zqnm&amp;q=XNYS%3aPFE&amp;form=skydnc</v>
    <v>Learn more on Bing</v>
  </rv>
  <rv s="6">
    <v>en-ID</v>
    <v>a1zqnm</v>
    <v>268435456</v>
    <v>1</v>
    <v>Powered by Refinitiv</v>
    <v>11</v>
    <v>PFIZER INC. (XNYS:PFE)</v>
    <v>2</v>
    <v>12</v>
    <v>Finance</v>
    <v>9</v>
    <v>61.71</v>
    <v>35.76</v>
    <v>0.77059999999999995</v>
    <v>0.5</v>
    <v>9.4730000000000005E-3</v>
    <v>USD</v>
    <v>Pfizer Inc. (Pfizer) is a research-based global biopharmaceutical company. The Company is engaged in the discovery, development, manufacture, marketing, sales and distribution of biopharmaceutical products. Its global portfolio includes medicines and vaccines. The Company offers therapeutic candidates in gastroenterology, dermatology, and cardiology, including etrasimod, an oral, selective sphingosine 1-phosphate (S1P) receptor modulator in development for a range of immuno-inflammatory diseases, including ulcerative colitis, Crohn’s Disease, atopic dermatitis, eosinophilic esophagitis, and alopecia areata. The Company works across markets to develop wellness, prevention, treatments and cures. It collaborates with healthcare providers, governments and local communities to support and provide access to healthcare. The Company's medicines and vaccines provide value for healthcare providers and patients, through treatment of diseases, improvements in health, wellness.</v>
    <v>79000</v>
    <v>New York Stock Exchange</v>
    <v>XNYS</v>
    <v>XNYS</v>
    <v>235 E 42ND ST, NEW YORK, NY, 10017-5703 US</v>
    <v>53.56</v>
    <v>Pharmaceuticals</v>
    <v>Stock</v>
    <v>44648.999661238282</v>
    <v>86</v>
    <v>52.5</v>
    <v>300913398720</v>
    <v>PFIZER INC.</v>
    <v>PFIZER INC.</v>
    <v>52.53</v>
    <v>13.5663</v>
    <v>52.78</v>
    <v>53.28</v>
    <v>5647774000</v>
    <v>PFE</v>
    <v>PFIZER INC. (XNYS:PFE)</v>
    <v>3908</v>
    <v>32036589</v>
    <v>1942</v>
  </rv>
  <rv s="2">
    <v>87</v>
  </rv>
  <rv s="0">
    <v>https://www.bing.com/financeapi/forcetrigger?t=a1rjec&amp;q=XNAS%3aEA&amp;form=skydnc</v>
    <v>Learn more on Bing</v>
  </rv>
  <rv s="6">
    <v>en-ID</v>
    <v>a1rjec</v>
    <v>268435456</v>
    <v>1</v>
    <v>Powered by Refinitiv</v>
    <v>11</v>
    <v>ELECTRONIC ARTS INC. (XNAS:EA)</v>
    <v>2</v>
    <v>12</v>
    <v>Finance</v>
    <v>17</v>
    <v>148.93</v>
    <v>117.58</v>
    <v>0.83009999999999995</v>
    <v>0.72</v>
    <v>5.6550000000000003E-3</v>
    <v>USD</v>
    <v>Electronic Arts Inc. is a digital interactive entertainment company. The Company develops, markets, publishes and deliver games, content and services that can be played by consumers on a range of platforms, which include game consoles, personal computers (PCs), mobile phones and tablets. The Company's games and services are based on a portfolio of intellectual property that includes brands, such as Battlefield, The Sims, Apex Legends, Need for Speed, Plants vs. Zombies, FIFA, Madden NFL and Star Wars. The Company markets and sells its games and services through retail channels and through digital distribution channels. The Company's PC games and additional content can be downloaded directly through its Origin online platform, as well as through third-party online download stores, such as Steam. Its mobile, tablet and PC free-to-download games and additional content are available through third-party application storefronts, such as the Apple Application Store and Google Play.</v>
    <v>11000</v>
    <v>Nasdaq Stock Market</v>
    <v>XNAS</v>
    <v>XNAS</v>
    <v>209 Redwood Shores Pkwy, REDWOOD CITY, CA, 94065-1175 US</v>
    <v>128.12</v>
    <v>Software &amp; IT Services</v>
    <v>Stock</v>
    <v>44648.925519293749</v>
    <v>89</v>
    <v>126.15</v>
    <v>36007703292</v>
    <v>ELECTRONIC ARTS INC.</v>
    <v>ELECTRONIC ARTS INC.</v>
    <v>127.67</v>
    <v>57.620699999999999</v>
    <v>127.32</v>
    <v>128.04</v>
    <v>281222300</v>
    <v>EA</v>
    <v>ELECTRONIC ARTS INC. (XNAS:EA)</v>
    <v>1065951</v>
    <v>1872378</v>
    <v>1991</v>
  </rv>
  <rv s="2">
    <v>90</v>
  </rv>
  <rv s="0">
    <v>https://www.bing.com/financeapi/forcetrigger?t=a1yrp2&amp;q=XNAS%3aNTES&amp;form=skydnc</v>
    <v>Learn more on Bing</v>
  </rv>
  <rv s="6">
    <v>en-ID</v>
    <v>a1yrp2</v>
    <v>268435456</v>
    <v>1</v>
    <v>Powered by Refinitiv</v>
    <v>11</v>
    <v>NETEASE, INC. (XNAS:NTES)</v>
    <v>2</v>
    <v>12</v>
    <v>Finance</v>
    <v>9</v>
    <v>120.84</v>
    <v>68.62</v>
    <v>0.49790000000000001</v>
    <v>0.16</v>
    <v>1.7080000000000001E-3</v>
    <v>USD</v>
    <v>NetEase Inc is a technology company. The Company operates three business segments. The Online Game Service segment is engaged in developing and operating online game services that cover mobile games and personal computer (PC) games. The games include Westward Journey, Onmyoji series and so on. The Youdao segment provides intelligent learning services. Its products and services include Youdao Premium Courses, Youdao Dictionary and Youdao Dictionary Pen. The Innovative Businesses and Others segment provides products Netease Cloud Music, Netease Mail, Netease News and other products. The Company conducts its businesses both in domestic and international markets, including Japan, the United States, Europe and Southeast Asia.</v>
    <v>28239</v>
    <v>Nasdaq Stock Market</v>
    <v>XNAS</v>
    <v>XNAS</v>
    <v>NetEase Building, No. 599 Wangshang Road, Binjiang District, HANGZHOU, ZHEJIANG, 310052 CN</v>
    <v>96.86</v>
    <v>Software &amp; IT Services</v>
    <v>Stock</v>
    <v>44648.948156400002</v>
    <v>92</v>
    <v>92.19</v>
    <v>62951409273</v>
    <v>NETEASE, INC.</v>
    <v>NETEASE, INC.</v>
    <v>95.38</v>
    <v>24.200900000000001</v>
    <v>93.66</v>
    <v>93.82</v>
    <v>670980700</v>
    <v>NTES</v>
    <v>NETEASE, INC. (XNAS:NTES)</v>
    <v>5520</v>
    <v>4042375</v>
    <v>1999</v>
  </rv>
  <rv s="2">
    <v>93</v>
  </rv>
  <rv s="0">
    <v>https://www.bing.com/financeapi/forcetrigger?t=a242z2&amp;q=XNYS%3aTDOC&amp;form=skydnc</v>
    <v>Learn more on Bing</v>
  </rv>
  <rv s="6">
    <v>en-ID</v>
    <v>a242z2</v>
    <v>268435456</v>
    <v>1</v>
    <v>Powered by Refinitiv</v>
    <v>11</v>
    <v>Teladoc Health, Inc. (XNYS:TDOC)</v>
    <v>2</v>
    <v>12</v>
    <v>Finance</v>
    <v>9</v>
    <v>194.99</v>
    <v>50.08</v>
    <v>0.41649999999999998</v>
    <v>3.11</v>
    <v>4.6620000000000002E-2</v>
    <v>USD</v>
    <v>Teladoc Health, Inc. provides virtual healthcare services. The Company operates in health services segment. The Company provides virtual access to care with a portfolio of services and solutions, which includes various medical subspecialties from non-urgent, episodic needs, such as flu and upper respiratory infections, to chronic, complicated medical conditions, such as hypertension, cancer and congestive heart failure. It provides provide virtual healthcare services on a business-to-business (B2B) basis to its clients including employers, health plans, hospitals and health systems, and insurance and financial services companies spanning the global healthcare landscape and provide services to consumers directly and through channel partners. The Company’s consumer brands, including Teladoc, Livongo, Advance Medical, Best Doctors, BetterHelp and HealthiestYou, provides access to advice and resolution for an array of healthcare needs.</v>
    <v>5100</v>
    <v>New York Stock Exchange</v>
    <v>XNYS</v>
    <v>XNYS</v>
    <v>2 Manhattanville Rd Ste 203, PURCHASE, NY, 10577-2118 US</v>
    <v>70.400000000000006</v>
    <v>Healthcare Providers &amp; Services</v>
    <v>Stock</v>
    <v>44648.999597082809</v>
    <v>95</v>
    <v>66.53</v>
    <v>10695420000</v>
    <v>Teladoc Health, Inc.</v>
    <v>Teladoc Health, Inc.</v>
    <v>67.61</v>
    <v>0</v>
    <v>66.709999999999994</v>
    <v>69.819999999999993</v>
    <v>160327000</v>
    <v>TDOC</v>
    <v>Teladoc Health, Inc. (XNYS:TDOC)</v>
    <v>1466</v>
    <v>5661729</v>
    <v>2008</v>
  </rv>
  <rv s="2">
    <v>96</v>
  </rv>
  <rv s="0">
    <v>https://www.bing.com/financeapi/forcetrigger?t=azwuvh&amp;q=XNYS%3aHUYA&amp;form=skydnc</v>
    <v>Learn more on Bing</v>
  </rv>
  <rv s="11">
    <v>en-ID</v>
    <v>azwuvh</v>
    <v>268435456</v>
    <v>1</v>
    <v>Powered by Refinitiv</v>
    <v>24</v>
    <v>HUYA Inc. (XNYS:HUYA)</v>
    <v>2</v>
    <v>25</v>
    <v>Finance</v>
    <v>17</v>
    <v>20.9</v>
    <v>3.23</v>
    <v>0.76819999999999999</v>
    <v>0.02</v>
    <v>3.8240000000000001E-3</v>
    <v>USD</v>
    <v>HUYA Inc is a China-based holding company principally engaged in the operation of game live streaming platforms. The Company cooperates with e-sports event organizers, game developers and publishers to develop e-sports live streaming. Its game contents include gameplay, e-sports tournament events and other e-sports game shows. The Company also offers non-game entertainment content, such as talent shows, anime and outdoor activities. The Company’s platforms include its Huya Live mobile application (app), website www.huya.com, and personal computer (PC) clients. It also develops and operates certain mobile games jointly with third-party distribution platforms, and game-related apps. The Company has also created an interactive online community in which a range of functions are provided for the users, including bullet chatting, real-time commenting and gifting. The Company conducts its businesses in domestic market.</v>
    <v>2075</v>
    <v>New York Stock Exchange</v>
    <v>XNYS</v>
    <v>XNYS</v>
    <v>Building A3, E-Park,280 Hanxi Road, Panyu District, GUANGZHOU, GUANGDONG, 511446 CN</v>
    <v>5.39</v>
    <v>Software &amp; IT Services</v>
    <v>Stock</v>
    <v>44648.958333356248</v>
    <v>98</v>
    <v>5.0949999999999998</v>
    <v>1245342000</v>
    <v>HUYA Inc.</v>
    <v>HUYA Inc.</v>
    <v>5.28</v>
    <v>13.895200000000001</v>
    <v>5.23</v>
    <v>5.25</v>
    <v>238070300</v>
    <v>HUYA</v>
    <v>HUYA Inc. (XNYS:HUYA)</v>
    <v>126</v>
    <v>3667631</v>
  </rv>
  <rv s="2">
    <v>99</v>
  </rv>
  <rv s="0">
    <v>https://www.bing.com/financeapi/forcetrigger?t=a1nxoc&amp;q=XNAS%3aATVI&amp;form=skydnc</v>
    <v>Learn more on Bing</v>
  </rv>
  <rv s="6">
    <v>en-ID</v>
    <v>a1nxoc</v>
    <v>268435456</v>
    <v>1</v>
    <v>Powered by Refinitiv</v>
    <v>11</v>
    <v>ACTIVISION BLIZZARD, INC. (XNAS:ATVI)</v>
    <v>2</v>
    <v>12</v>
    <v>Finance</v>
    <v>9</v>
    <v>99.459000000000003</v>
    <v>56.4</v>
    <v>0.54559999999999997</v>
    <v>0.41</v>
    <v>5.1510000000000002E-3</v>
    <v>USD</v>
    <v>Activision Blizzard, Inc. is a developer and publisher of interactive entertainment content and services. The Company develops and distributes content and services on video game consoles, personal computers (PC) and mobile devices. Its segments include Activision Publishing, Inc. (Activision), Blizzard Entertainment, Inc. (Blizzard), King Digital Entertainment (King) and Other. Activision delivers content through both premium and free-to-play offerings. It also includes the activities of the Call of Duty League, a global professional esports league with city-based teams. Blizzard develops and publishes entertainment software for creating games. Blizzard also maintains an online gaming service, Blizzard Battle.net , which facilitates digital distribution of Blizzard content and selected Activision content, online social connectivity, and the creation of user-generated content. King delivers content on the mobile platform. Kings’ product franchise is Candy Crush, a match three franchise.</v>
    <v>9800</v>
    <v>Nasdaq Stock Market</v>
    <v>XNAS</v>
    <v>XNAS</v>
    <v>3100 OCEAN PARK BLVD, SANTA MONICA, CA, 90405-3032 US</v>
    <v>80.069999999999993</v>
    <v>Software &amp; IT Services</v>
    <v>Stock</v>
    <v>44648.999116596875</v>
    <v>101</v>
    <v>79.180000000000007</v>
    <v>62481641229</v>
    <v>ACTIVISION BLIZZARD, INC.</v>
    <v>ACTIVISION BLIZZARD, INC.</v>
    <v>79.31</v>
    <v>23.226299999999998</v>
    <v>79.599999999999994</v>
    <v>80.010000000000005</v>
    <v>780922900</v>
    <v>ATVI</v>
    <v>ACTIVISION BLIZZARD, INC. (XNAS:ATVI)</v>
    <v>959</v>
    <v>8365972</v>
    <v>2000</v>
  </rv>
  <rv s="2">
    <v>102</v>
  </rv>
  <rv s="0">
    <v>https://www.bing.com/financeapi/forcetrigger?t=a1yv52&amp;q=XNAS%3aNVDA&amp;form=skydnc</v>
    <v>Learn more on Bing</v>
  </rv>
  <rv s="6">
    <v>en-ID</v>
    <v>a1yv52</v>
    <v>268435456</v>
    <v>1</v>
    <v>Powered by Refinitiv</v>
    <v>11</v>
    <v>NVIDIA CORPORATION (XNAS:NVDA)</v>
    <v>2</v>
    <v>12</v>
    <v>Finance</v>
    <v>9</v>
    <v>346.47</v>
    <v>127</v>
    <v>1.4259999999999999</v>
    <v>5.27</v>
    <v>1.9030999999999999E-2</v>
    <v>USD</v>
    <v>NVIDIA Corporation is a personal computer (PC) gaming market. The Company’s segments include Graphics and Compute &amp; Networking. The Graphics segment includes GeForce graphics processing units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software for building three-dimensional (3D) designs and virtual worlds. The Compute &amp; Networking segment includes Data Center platforms and systems for artificial intelligence (AI), high-performance computing (HPC), and accelerated computing; Mellanox networking and interconnect solutions; automotive AI Cockpit, autonomous driving development agreements, and autonomous vehicle solutions; cryptocurrency mining processors (CMP); Jetson for robotics, and NVIDIA AI Enterprise.</v>
    <v>22473</v>
    <v>Nasdaq Stock Market</v>
    <v>XNAS</v>
    <v>XNAS</v>
    <v>2788 San Tomas Expy, SANTA CLARA, CA, 95051-0952 US</v>
    <v>282.5</v>
    <v>Semiconductors &amp; Semiconductor Equipment</v>
    <v>Stock</v>
    <v>44648.999902916403</v>
    <v>104</v>
    <v>272.06</v>
    <v>708296900000</v>
    <v>NVIDIA CORPORATION</v>
    <v>NVIDIA CORPORATION</v>
    <v>277.55500000000001</v>
    <v>73.365499999999997</v>
    <v>276.92</v>
    <v>282.19</v>
    <v>2510000000</v>
    <v>NVDA</v>
    <v>NVIDIA CORPORATION (XNAS:NVDA)</v>
    <v>137518</v>
    <v>53787846</v>
    <v>1998</v>
  </rv>
  <rv s="2">
    <v>105</v>
  </rv>
  <rv s="0">
    <v>https://www.bing.com/financeapi/forcetrigger?t=bjqejc&amp;q=XNYS%3aNIO&amp;form=skydnc</v>
    <v>Learn more on Bing</v>
  </rv>
  <rv s="6">
    <v>en-ID</v>
    <v>bjqejc</v>
    <v>268435456</v>
    <v>1</v>
    <v>Powered by Refinitiv</v>
    <v>11</v>
    <v>NIO INC. (XNYS:NIO)</v>
    <v>2</v>
    <v>12</v>
    <v>Finance</v>
    <v>9</v>
    <v>55.13</v>
    <v>13.01</v>
    <v>2.4205000000000001</v>
    <v>1.3</v>
    <v>6.5294000000000005E-2</v>
    <v>USD</v>
    <v>NIO Inc is a China-based holding company principally engaged in the research, development and manufacturing of premium smart electric vehicles. The Company is mainly engaged in the design, development, manufacture and sales of high-end smart electric vehicles. The Company's products mainly include ES8, ES6, EC6 and ET7. The Company develops battery swapping technologies and autonomous driving technologies. Its electric vehicles apply NAD (NIO Autonomous Driving) technology, including super computing platform NIO Adam and super sensing system NIO Aquila. The Company is also engaged in the provision of charging piles, vehicle internet connection services and extended lifetime warranties. The Company mainly conducts its businesses in the domestic market.</v>
    <v>7763</v>
    <v>New York Stock Exchange</v>
    <v>XNYS</v>
    <v>XNYS</v>
    <v>Building 20, No. 56 Antuo Road, Anting Town, Jiading District, Shanghai, SHANGHAI, 201804 CN</v>
    <v>21.23</v>
    <v>Automobiles &amp; Auto Parts</v>
    <v>Stock</v>
    <v>44648.999856747658</v>
    <v>107</v>
    <v>20.3201</v>
    <v>30742560000</v>
    <v>NIO INC.</v>
    <v>NIO INC.</v>
    <v>20.414999999999999</v>
    <v>0</v>
    <v>19.91</v>
    <v>21.21</v>
    <v>1543785000</v>
    <v>NIO</v>
    <v>NIO INC. (XNYS:NIO)</v>
    <v>369802</v>
    <v>86272711</v>
    <v>2014</v>
  </rv>
  <rv s="2">
    <v>108</v>
  </rv>
  <rv s="0">
    <v>https://www.bing.com/financeapi/forcetrigger?t=ah5ow7&amp;q=XHKG%3a728&amp;form=skydnc</v>
    <v>Learn more on Bing</v>
  </rv>
  <rv s="7">
    <v>en-ID</v>
    <v>ah5ow7</v>
    <v>268435456</v>
    <v>1</v>
    <v>Powered by Refinitiv</v>
    <v>13</v>
    <v>China Telecom Corporation Limited (XHKG:728)</v>
    <v>2</v>
    <v>14</v>
    <v>Finance</v>
    <v>4</v>
    <v>3.24</v>
    <v>2.2999999999999998</v>
    <v>0.49730000000000002</v>
    <v>-0.02</v>
    <v>-1.6129000000000001E-2</v>
    <v>-6.4099999999999999E-3</v>
    <v>-0.05</v>
    <v>HKD</v>
    <v>China Telecom Corp Ltd is a China-based company mainly engaged in telecommunications and related businesses. The Company's main business includes mobile telecommunications services, wireline and smart family services, industrial digital services, and commodity sales. The Company's mobile telecommunications services business mainly includes mobile voice, handset Internet access, and mobile value-added services. The Company's Wireline and smart family services business mainly include fixed-line telephone, wireline broadband and smart home services. The Company's industrial digital business mainly includes industry cloud, Internet data center (IDC), digital platform, network dedicated line, Internet of Things and other businesses. The Company's commodity sales business refers to the company's sales of mobile terminal equipment and wireline communication equipment to users. The Company distributes its products within the domestic market.</v>
    <v>281192</v>
    <v>Hong Kong Stock Exchange</v>
    <v>XHKG</v>
    <v>XHKG</v>
    <v>31, Jinrong Street, Xicheng District, BEIJING, BEIJING, 100033 CN</v>
    <v>3.16</v>
    <v>Telecommunications Services</v>
    <v>Stock</v>
    <v>44649.339085648149</v>
    <v>110</v>
    <v>3.08</v>
    <v>426100900000</v>
    <v>China Telecom Corporation Limited</v>
    <v>China Telecom Corporation Limited</v>
    <v>3.11</v>
    <v>8.2200000000000006</v>
    <v>3.12</v>
    <v>3.1</v>
    <v>3.05</v>
    <v>91507140000</v>
    <v>728</v>
    <v>China Telecom Corporation Limited (XHKG:728)</v>
    <v>88599971</v>
    <v>131424800</v>
    <v>2002</v>
  </rv>
  <rv s="2">
    <v>111</v>
  </rv>
  <rv s="0">
    <v>https://www.bing.com/financeapi/forcetrigger?t=ah6zrw&amp;q=XHKG%3a941&amp;form=skydnc</v>
    <v>Learn more on Bing</v>
  </rv>
  <rv s="7">
    <v>en-ID</v>
    <v>ah6zrw</v>
    <v>268435456</v>
    <v>1</v>
    <v>Powered by Refinitiv</v>
    <v>13</v>
    <v>China Mobile Limited (XHKG:941)</v>
    <v>2</v>
    <v>14</v>
    <v>Finance</v>
    <v>4</v>
    <v>58.65</v>
    <v>45.9</v>
    <v>0.60450000000000004</v>
    <v>0</v>
    <v>-1.085E-2</v>
    <v>0</v>
    <v>-0.6</v>
    <v>HKD</v>
    <v>China Mobile Ltd is a China-based company mainly engaged in communication and information services. The Company's businesses include personal market business, family market business, government enterprise market business and emerging market business. The personal market business mainly provides mobile communication services and Internet access services. The family market business mainly provides broadband access services. The government enterprise market business provides basic communication services, information application products and data, information, communication and technology (DICT) solutions. The emerging market businesses include emerging fields such as international business, digital content and mobile payment.</v>
    <v>446898</v>
    <v>Hong Kong Stock Exchange</v>
    <v>XHKG</v>
    <v>XHKG</v>
    <v>No. 29, Financial Street, Xicheng District, BEIJING, BEIJING, 100032 CN</v>
    <v>56.2</v>
    <v>Telecommunications Services</v>
    <v>Stock</v>
    <v>44649.339085648149</v>
    <v>113</v>
    <v>55</v>
    <v>1207153000000</v>
    <v>China Mobile Limited</v>
    <v>China Mobile Limited</v>
    <v>55.15</v>
    <v>7.94</v>
    <v>55.3</v>
    <v>55.3</v>
    <v>54.7</v>
    <v>21362830000</v>
    <v>941</v>
    <v>China Mobile Limited (XHKG:941)</v>
    <v>33317149</v>
    <v>45142020</v>
    <v>1997</v>
  </rv>
  <rv s="2">
    <v>114</v>
  </rv>
  <rv s="0">
    <v>https://www.bing.com/financeapi/forcetrigger?t=a1tvoc&amp;q=XNAS%3aGILD&amp;form=skydnc</v>
    <v>Learn more on Bing</v>
  </rv>
  <rv s="6">
    <v>en-ID</v>
    <v>a1tvoc</v>
    <v>268435456</v>
    <v>1</v>
    <v>Powered by Refinitiv</v>
    <v>11</v>
    <v>GILEAD SCIENCES, INC. (XNAS:GILD)</v>
    <v>2</v>
    <v>12</v>
    <v>Finance</v>
    <v>17</v>
    <v>74.12</v>
    <v>57.185000000000002</v>
    <v>0.41499999999999998</v>
    <v>0.27</v>
    <v>4.5830000000000003E-3</v>
    <v>USD</v>
    <v>Gilead Sciences, Inc. is a biopharmaceutical company that is focused on advancing medicines to prevent and treat diseases, including human immunodeficiency virus (HIV), viral hepatitis and cancer. The Company's portfolio of products and pipeline of investigational drugs includes treatments for HIV/acquired immune deficiency syndrome (AIDS), COVID-19, liver diseases, hematology/oncology/cell therapy and other. Its products for HIV/AIDS patients include Biktarvy, Descovy, Odefsey, Genvoya, Stribild, Complera/Eviplera, Truvada and Atripla. It offers Veklury to patients with COVID-19. The Company's products for patients with liver diseases include Vemlidy, Epclusa, Harvoni, Viread and Vosevi. Its products under hematology/oncology/cell therapy include Yescarta, Tecartus, Trodelvy and Zydelig. Other products include Letairis, Ranexa and AmBisome. Its products for various inflammation/respiratory diseases include Cayston and Tamiflu. The Company operates in more than 335 countries worldwide.</v>
    <v>14400</v>
    <v>Nasdaq Stock Market</v>
    <v>XNAS</v>
    <v>XNAS</v>
    <v>333 LAKESIDE DR, FOSTER CITY, CA, 94404 US</v>
    <v>59.365000000000002</v>
    <v>Biotechnology &amp; Medical Research</v>
    <v>Stock</v>
    <v>44648.990020126563</v>
    <v>116</v>
    <v>58.674999999999997</v>
    <v>74317474660</v>
    <v>GILEAD SCIENCES, INC.</v>
    <v>GILEAD SCIENCES, INC.</v>
    <v>58.95</v>
    <v>11.993</v>
    <v>58.91</v>
    <v>59.18</v>
    <v>1255787000</v>
    <v>GILD</v>
    <v>GILEAD SCIENCES, INC. (XNAS:GILD)</v>
    <v>1</v>
    <v>12189238</v>
    <v>1987</v>
  </rv>
  <rv s="2">
    <v>117</v>
  </rv>
  <rv s="0">
    <v>https://www.bing.com/financeapi/forcetrigger?t=a23xnm&amp;q=XNYS%3aTAL&amp;form=skydnc</v>
    <v>Learn more on Bing</v>
  </rv>
  <rv s="6">
    <v>en-ID</v>
    <v>a23xnm</v>
    <v>268435456</v>
    <v>1</v>
    <v>Powered by Refinitiv</v>
    <v>11</v>
    <v>TAL Education Group (XNYS:TAL)</v>
    <v>2</v>
    <v>12</v>
    <v>Finance</v>
    <v>17</v>
    <v>66</v>
    <v>1.6</v>
    <v>0.10150000000000001</v>
    <v>0.13</v>
    <v>4.2484000000000001E-2</v>
    <v>USD</v>
    <v>TAL Education Group is a holding company for a group of companies engaged in provision of after-school tutoring programs for primary and secondary school students in the People's Republic of China (the PRC). The Company mainly offer tutoring services to kindergarten through twelfth grade (K-12) students covering core academic subjects, including among others, mathematics, physics, chemistry, biology, history, geography, political science, English and Chinese. It also provides consulting services for overseas studies and preparation courses for major standardized tests, as well as operate several online community platforms including www.jzb.com (together with the Jiazhang Bang application (app)) and www.mmbang.com (together with the Mama Bang app). The Company’s main brands are Xueersi, Mobby, Firstleap, Izhikang and Shunshun Liuxue. The Company mainly operates its businesses in Mainland China and Hong Kong.</v>
    <v>70914</v>
    <v>New York Stock Exchange</v>
    <v>XNYS</v>
    <v>XNYS</v>
    <v>5/F, Tower B, Heying Center,, Xiaoying West Street, Haidian District, BEIJING, BEIJING, 100085 CN</v>
    <v>3.27</v>
    <v>Miscellaneous Educational Service Providers</v>
    <v>Stock</v>
    <v>44648.995284988283</v>
    <v>119</v>
    <v>3</v>
    <v>1358599000</v>
    <v>TAL Education Group</v>
    <v>TAL Education Group</v>
    <v>3.09</v>
    <v>0</v>
    <v>3.06</v>
    <v>3.19</v>
    <v>443990700</v>
    <v>TAL</v>
    <v>TAL Education Group (XNYS:TAL)</v>
    <v>1522</v>
    <v>13722765</v>
    <v>2008</v>
  </rv>
  <rv s="2">
    <v>120</v>
  </rv>
  <rv s="0">
    <v>https://www.bing.com/financeapi/forcetrigger?t=a21uim&amp;q=XNAS%3aREGN&amp;form=skydnc</v>
    <v>Learn more on Bing</v>
  </rv>
  <rv s="6">
    <v>en-ID</v>
    <v>a21uim</v>
    <v>268435456</v>
    <v>1</v>
    <v>Powered by Refinitiv</v>
    <v>11</v>
    <v>REGENERON PHARMACEUTICALS, INC. (XNAS:REGN)</v>
    <v>2</v>
    <v>12</v>
    <v>Finance</v>
    <v>9</v>
    <v>697.01</v>
    <v>451.6</v>
    <v>0.20219999999999999</v>
    <v>13.37</v>
    <v>1.9660999999999998E-2</v>
    <v>USD</v>
    <v>Regeneron Pharmaceuticals, Inc. is an integrated biotechnology company that discovers, invents, develops, manufactures, and commercializes medicines for serious diseases. Its commercialized medicines and product candidates in development are designed to help patients with eye diseases, allergic and inflammatory diseases, cancer, cardiovascular and metabolic diseases, pain, hematologic conditions, infectious diseases, and rare diseases. The Company's marketed products include EYLEA (aflibercept) Injection, Dupixent (dupilumab) Injection, Libtayo (cemiplimab) Injection, Praluent (alirocumab) Injection, REGEN-COV, Kevzara (sarilumab) Solution for Subcutaneous Injection, Evkeeza (evinacumab) Injection, Inmazeb (atoltivimab, maftivimab, and odesivimab-ebgn) Injection, ARCALYST (rilonacept) Injection for Subcutaneous Use and ZALTRAP (ziv-aflibercept) Injection for Intravenous Infusion. Its product candidates in clinical development include REGN4018, REGN5668, and Fasinumab, among others.</v>
    <v>10368</v>
    <v>Nasdaq Stock Market</v>
    <v>XNAS</v>
    <v>XNAS</v>
    <v>777 Old Saw Mill River Rd, TARRYTOWN, NY, 10591-6717 US</v>
    <v>694.23</v>
    <v>Biotechnology &amp; Medical Research</v>
    <v>Stock</v>
    <v>44648.977247731251</v>
    <v>122</v>
    <v>676.29</v>
    <v>75261150620</v>
    <v>REGENERON PHARMACEUTICALS, INC.</v>
    <v>REGENERON PHARMACEUTICALS, INC.</v>
    <v>676.29</v>
    <v>9.2889999999999997</v>
    <v>680.03</v>
    <v>693.4</v>
    <v>108539300</v>
    <v>REGN</v>
    <v>REGENERON PHARMACEUTICALS, INC. (XNAS:REGN)</v>
    <v>29</v>
    <v>658724</v>
    <v>1988</v>
  </rv>
  <rv s="2">
    <v>123</v>
  </rv>
  <rv s="0">
    <v>https://www.bing.com/financeapi/forcetrigger?t=bv85zr&amp;q=XNAS%3aBIGC&amp;form=skydnc</v>
    <v>Learn more on Bing</v>
  </rv>
  <rv s="8">
    <v>en-ID</v>
    <v>bv85zr</v>
    <v>268435456</v>
    <v>1</v>
    <v>Powered by Refinitiv</v>
    <v>18</v>
    <v>BIGCOMMERCE HOLDINGS, INC. (XNAS:BIGC)</v>
    <v>2</v>
    <v>19</v>
    <v>Finance</v>
    <v>9</v>
    <v>72.2</v>
    <v>17.27</v>
    <v>0.75</v>
    <v>3.6584999999999999E-2</v>
    <v>USD</v>
    <v>BigCommerce Holdings Inc. provides software-as-a-service (SaaS) ecommerce platform that allows merchants of all sizes to build and grow their businesses online. The Company's segments include small businesses (SMBs), the mid-market, and large enterprises. It provides a platform for launching and scaling an ecommerce operation, including store design, catalog management, hosting, checkout, order management and reporting. Its third-party services include payments, shipping and fulfillment, point of sale, marketing and accounting. Its platform serves customers across a wide variety of sizes, product categories, and purchase types, including business-to-consumer (B2C) and business-to-business (B2B). The Company serves approximately 58,000 online stores across industries in 147 countries.</v>
    <v>1337</v>
    <v>Nasdaq Stock Market</v>
    <v>XNAS</v>
    <v>XNAS</v>
    <v>11305 FOUR POINTS DR, BLDG 2, 3RD FLOOR, AUSTIN, TX, 78726 US</v>
    <v>21.414999999999999</v>
    <v>Software &amp; IT Services</v>
    <v>Stock</v>
    <v>44648.996791053127</v>
    <v>125</v>
    <v>20.52</v>
    <v>1539988350</v>
    <v>BIGCOMMERCE HOLDINGS, INC.</v>
    <v>BIGCOMMERCE HOLDINGS, INC.</v>
    <v>20.66</v>
    <v>20.5</v>
    <v>21.25</v>
    <v>72470040</v>
    <v>BIGC</v>
    <v>BIGCOMMERCE HOLDINGS, INC. (XNAS:BIGC)</v>
    <v>1021998</v>
    <v>1752122</v>
  </rv>
  <rv s="2">
    <v>126</v>
  </rv>
  <rv s="0">
    <v>https://www.bing.com/financeapi/forcetrigger?t=a1twnm&amp;q=ARCX%3aGLD&amp;form=skydnc</v>
    <v>Learn more on Bing</v>
  </rv>
  <rv s="12">
    <v>en-ID</v>
    <v>a1twnm</v>
    <v>268435456</v>
    <v>1</v>
    <v>Powered by Refinitiv</v>
    <v>26</v>
    <v>SPDR Gold (ARCX:GLD)</v>
    <v>27</v>
    <v>28</v>
    <v>Finance</v>
    <v>29</v>
    <v>193.3</v>
    <v>157.55000000000001</v>
    <v>0.83230000000000004</v>
    <v>-3.32</v>
    <v>-1.8204000000000001E-2</v>
    <v>USD</v>
    <v>NYSE Arca</v>
    <v>ARCX</v>
    <v>4.0000000000000001E-3</v>
    <v>181.32499999999999</v>
    <v>ETF</v>
    <v>44649.000000010936</v>
    <v>128</v>
    <v>178.85</v>
    <v>63167104232.139999</v>
    <v>SPDR Gold</v>
    <v>180.38</v>
    <v>182.38</v>
    <v>179.06</v>
    <v>GLD</v>
    <v>SPDR Gold (ARCX:GLD)</v>
    <v>8747</v>
    <v>17026587</v>
  </rv>
  <rv s="2">
    <v>129</v>
  </rv>
  <rv s="0">
    <v>http://commons.wikimedia.org/wiki/File:Adobe_Systems_logo_and_wordmark.svg</v>
    <v>commons.wikimedia.org</v>
  </rv>
  <rv s="3">
    <v>10</v>
    <v>131</v>
  </rv>
  <rv s="4">
    <v>10</v>
    <v>https://www.bing.com/th?id=AMMS_8f9887bbe9a0de55785480179eb55aa9&amp;qlt=95</v>
    <v>132</v>
    <v>0</v>
    <v>https://www.bing.com/images/search?form=xlimg&amp;q=adobe+systems</v>
    <v>Image of ADOBE INC.</v>
  </rv>
  <rv s="0">
    <v>https://www.bing.com/financeapi/forcetrigger?t=a1mv7w&amp;q=XNAS%3aADBE&amp;form=skydnc</v>
    <v>Learn more on Bing</v>
  </rv>
  <rv s="5">
    <v>en-ID</v>
    <v>a1mv7w</v>
    <v>268435456</v>
    <v>1</v>
    <v>Powered by Refinitiv</v>
    <v>5</v>
    <v>ADOBE INC. (XNAS:ADBE)</v>
    <v>7</v>
    <v>8</v>
    <v>Finance</v>
    <v>9</v>
    <v>699.54</v>
    <v>407.94</v>
    <v>1.0412999999999999</v>
    <v>18.39</v>
    <v>4.2606999999999999E-2</v>
    <v>USD</v>
    <v>Adobe Inc., formerly Adobe Systems Incorporated, is a software company. The Company offers products and services used by professionals, marketers, knowledge workers, application developers, enterprises and consumers for creating, managing, measuring, optimizing and engaging with compelling content and experiences. It operates through three segments: Digital Media, Digital Experience and Publishing. Its Digital Media segment provides tools and solutions that enable individuals, small and medium businesses and enterprises to create, publish, promote and monetize their digital content. Its Digital Experience segment provides solutions and services for how digital advertising and marketing are created, managed, executed, measured and optimized. Its Publishing segment addresses market opportunities ranging from the diverse authoring and publishing needs of technical and business publishing to its legacy type and original equipment manufacturer printing businesses.</v>
    <v>25988</v>
    <v>Nasdaq Stock Market</v>
    <v>XNAS</v>
    <v>XNAS</v>
    <v>345 PARK AVE, SAN JOSE, CA, 95110-2704 US</v>
    <v>450.32</v>
    <v>133</v>
    <v>Software &amp; IT Services</v>
    <v>Stock</v>
    <v>44648.999957094529</v>
    <v>134</v>
    <v>433.15</v>
    <v>212269717000</v>
    <v>ADOBE INC.</v>
    <v>ADOBE INC.</v>
    <v>433.41500000000002</v>
    <v>44.694400000000002</v>
    <v>431.62</v>
    <v>450.01</v>
    <v>471700000</v>
    <v>ADBE</v>
    <v>ADOBE INC. (XNAS:ADBE)</v>
    <v>2494</v>
    <v>4328742</v>
    <v>1997</v>
  </rv>
  <rv s="2">
    <v>135</v>
  </rv>
  <rv s="0">
    <v>https://www.bing.com/financeapi/forcetrigger?t=a1ohm7&amp;q=XNAS%3aBIDU&amp;form=skydnc</v>
    <v>Learn more on Bing</v>
  </rv>
  <rv s="6">
    <v>en-ID</v>
    <v>a1ohm7</v>
    <v>268435456</v>
    <v>1</v>
    <v>Powered by Refinitiv</v>
    <v>11</v>
    <v>Baidu, Inc. (XNAS:BIDU)</v>
    <v>2</v>
    <v>12</v>
    <v>Finance</v>
    <v>9</v>
    <v>228.53</v>
    <v>102.18</v>
    <v>0.94230000000000003</v>
    <v>0.91</v>
    <v>6.2100000000000002E-3</v>
    <v>USD</v>
    <v>Baidu Inc is a Chinese language Internet search provider. The Company offers a Chinese language search platform on its Baidu.com Website that enables users to find information online, including Webpages, news, images, documents and multimedia files, through links provided on its Website. The Company operates through two segments, Baidu Core segment and iQIYI segment. Baidu Core mainly provides search-based, feed-based, and other online marketing services, as well as products and services from the Company’s new artificial intelligence (AI) initiatives. Within Baidu Core, the Company’s product and services offerings are categorized as Mobile Ecosystem, Baidu AI Cloud and Intelligent Driving &amp; Other Growth Initiatives. iQIYI is an online entertainment service provider that offers original, professionally produced and partner-generated content on its platform.</v>
    <v>41000</v>
    <v>Nasdaq Stock Market</v>
    <v>XNAS</v>
    <v>XNAS</v>
    <v>Baidu Campus, No. 10 Shangdi 10th Street, Haidian District, BEIJING, BEIJING, 100085 CN</v>
    <v>148.41990000000001</v>
    <v>Software &amp; IT Services</v>
    <v>Stock</v>
    <v>44648.999801724218</v>
    <v>137</v>
    <v>144.80000000000001</v>
    <v>51321255314</v>
    <v>Baidu, Inc.</v>
    <v>Baidu, Inc.</v>
    <v>147</v>
    <v>31.8459</v>
    <v>146.54</v>
    <v>147.44999999999999</v>
    <v>348058700</v>
    <v>BIDU</v>
    <v>Baidu, Inc. (XNAS:BIDU)</v>
    <v>3666</v>
    <v>5887907</v>
    <v>2000</v>
  </rv>
  <rv s="2">
    <v>138</v>
  </rv>
  <rv s="0">
    <v>http://nl.wikipedia.org/wiki/Apple_Inc.</v>
    <v>Wikipedia</v>
  </rv>
  <rv s="3">
    <v>10</v>
    <v>140</v>
  </rv>
  <rv s="4">
    <v>10</v>
    <v>https://www.bing.com/th?id=AMMS_5bc8393c85a56e6bb6524ea7b3970bad&amp;qlt=95</v>
    <v>141</v>
    <v>0</v>
    <v>https://www.bing.com/images/search?form=xlimg&amp;q=apple+inc</v>
    <v>Image of APPLE INC.</v>
  </rv>
  <rv s="0">
    <v>https://www.bing.com/financeapi/forcetrigger?t=a1mou2&amp;q=XNAS%3aAAPL&amp;form=skydnc</v>
    <v>Learn more on Bing</v>
  </rv>
  <rv s="5">
    <v>en-ID</v>
    <v>a1mou2</v>
    <v>268435456</v>
    <v>1</v>
    <v>Powered by Refinitiv</v>
    <v>5</v>
    <v>APPLE INC. (XNAS:AAPL)</v>
    <v>7</v>
    <v>8</v>
    <v>Finance</v>
    <v>9</v>
    <v>182.94</v>
    <v>118.86</v>
    <v>1.1890000000000001</v>
    <v>0.88</v>
    <v>5.0370000000000007E-3</v>
    <v>USD</v>
    <v>Apple Inc. designs, manufactures and markets smartphones, personal computers, tablets, wearables and accessories, and sells a variety of related services. The Company’s products include iPhone, Mac, iPad, and Wearables, Home and Accessories. iPhone is the Company’s line of smartphones based on its iOS operating system. Mac is the Company’s line of personal computers based on its macOS operating system. iPad is the Company’s line of multi-purpose tablets based on its iPadOS operating system. Wearables, Home and Accessories includes AirPods, Apple TV, Apple Watch, Beats products, HomePod, iPod touch and other Apple-branded and third-party accessories. AirPods are the Company’s wireless headphones that interact with Siri. Apple Watch is the Company’s line of smart watches. Its services include Advertising, AppleCare, Cloud Services, Digital Content and Payment Services. Its customers are primarily in the consumer, small and mid-sized business, education, enterprise and government markets.</v>
    <v>154000</v>
    <v>Nasdaq Stock Market</v>
    <v>XNAS</v>
    <v>XNAS</v>
    <v>1 Apple Park Way, CUPERTINO, CA, 95014-0642 US</v>
    <v>175.73</v>
    <v>142</v>
    <v>Computers, Phones &amp; Household Electronics</v>
    <v>Stock</v>
    <v>44648.999993182813</v>
    <v>143</v>
    <v>172</v>
    <v>2865693664000</v>
    <v>APPLE INC.</v>
    <v>APPLE INC.</v>
    <v>172.17</v>
    <v>28.258800000000001</v>
    <v>174.72</v>
    <v>175.6</v>
    <v>16319440000</v>
    <v>AAPL</v>
    <v>APPLE INC. (XNAS:AAPL)</v>
    <v>126819</v>
    <v>93858034</v>
    <v>1977</v>
  </rv>
  <rv s="2">
    <v>144</v>
  </rv>
  <rv s="0">
    <v>https://www.bing.com/financeapi/forcetrigger?t=a1w2u2&amp;q=XNAS%3aJD&amp;form=skydnc</v>
    <v>Learn more on Bing</v>
  </rv>
  <rv s="11">
    <v>en-ID</v>
    <v>a1w2u2</v>
    <v>268435456</v>
    <v>1</v>
    <v>Powered by Refinitiv</v>
    <v>24</v>
    <v>JD.COM, INC. (XNAS:JD)</v>
    <v>2</v>
    <v>25</v>
    <v>Finance</v>
    <v>9</v>
    <v>92.69</v>
    <v>41.56</v>
    <v>0.65980000000000005</v>
    <v>-0.15</v>
    <v>-2.503E-3</v>
    <v>USD</v>
    <v>JD.com Inc is a holding company mainly engaged in e-commerce business. The Company operates two segments. JD Retail segment consists of online retail, online marketplace and marketing services in China. The Company offers electronics products, home appliances and other general merchandise categories. The Company has its own online platform, which third-party merchants offer products on it. The Company provides marketing and display advertising services to third-party merchants, suppliers and other business partners on its website channels. New Businesses segment includes logistics services provided to third parties, overseas business, technology initiatives, as well as asset management services to logistics property investors and sale of development properties. It offers comprehensive supply chain solutions to third parties through JD Logistics, including warehousing, transportation, delivery and after-sales service. The Company mainly conducts its businesses in the China market.</v>
    <v>314906</v>
    <v>Nasdaq Stock Market</v>
    <v>XNAS</v>
    <v>XNAS</v>
    <v>20Th Floor, Building A, No. 18 Kechuang, Yizhuang Bda, Daxing District, BEIJING, BEIJING, 101111 CN</v>
    <v>60.1</v>
    <v>Diversified Retail</v>
    <v>Stock</v>
    <v>44648.999922615621</v>
    <v>146</v>
    <v>56.962000000000003</v>
    <v>91538540000</v>
    <v>JD.COM, INC.</v>
    <v>JD.COM, INC.</v>
    <v>58.14</v>
    <v>24.939399999999999</v>
    <v>59.92</v>
    <v>59.77</v>
    <v>1564897000</v>
    <v>JD</v>
    <v>JD.COM, INC. (XNAS:JD)</v>
    <v>40731</v>
    <v>21599669</v>
  </rv>
  <rv s="2">
    <v>147</v>
  </rv>
  <rv s="0">
    <v>https://www.bing.com/financeapi/forcetrigger?t=azgvp2&amp;q=XNAS%3aBILI&amp;form=skydnc</v>
    <v>Learn more on Bing</v>
  </rv>
  <rv s="13">
    <v>en-ID</v>
    <v>azgvp2</v>
    <v>268435456</v>
    <v>1</v>
    <v>Powered by Refinitiv</v>
    <v>30</v>
    <v>Bilibili Inc. (XNAS:BILI)</v>
    <v>2</v>
    <v>31</v>
    <v>Finance</v>
    <v>9</v>
    <v>129.24</v>
    <v>14.93</v>
    <v>1.3088</v>
    <v>1.01</v>
    <v>3.6686999999999997E-2</v>
    <v>USD</v>
    <v>Bilibili Inc is a China-based company principally engaged in the Internet and other related businesses. The Company operates its business through four segments. The Mobile Games segment mainly publishes mobile games on its platform for third-party game developers which are free to download and play with Bilibili accounts. The Advertising segment is mainly engaged in display advertising arrangements business. The Live broadcasting and Value-added services (VAS) segment mainly generates revenue from subscription fee of premium membership program, sales of in-channel virtual items and sales of paid content and virtual items on its video, audio and comic platforms. The E-commerce and Others segment mainly engages in the online sales of anime, comics and games (AGG)-related merchandise and offline performance events and activities.</v>
    <v>8646</v>
    <v>Nasdaq Stock Market</v>
    <v>XNAS</v>
    <v>XNAS</v>
    <v>17Th Floor, Building 3, Guozheng Center, No. 485 Zhengli Road, Yangpu District, SHANGHAI, SHANGHAI, 200433 CN</v>
    <v>30.45</v>
    <v>Software &amp; IT Services</v>
    <v>Stock</v>
    <v>44648.999761851563</v>
    <v>149</v>
    <v>27.81</v>
    <v>10579370000</v>
    <v>Bilibili Inc.</v>
    <v>Bilibili Inc.</v>
    <v>28.67</v>
    <v>27.53</v>
    <v>28.54</v>
    <v>384285000</v>
    <v>BILI</v>
    <v>Bilibili Inc. (XNAS:BILI)</v>
    <v>94380</v>
    <v>14418373</v>
  </rv>
  <rv s="2">
    <v>150</v>
  </rv>
  <rv s="0">
    <v>https://www.bing.com/financeapi/forcetrigger?t=a24kjc&amp;q=XNYS%3aTSM&amp;form=skydnc</v>
    <v>Learn more on Bing</v>
  </rv>
  <rv s="6">
    <v>en-ID</v>
    <v>a24kjc</v>
    <v>268435456</v>
    <v>1</v>
    <v>Powered by Refinitiv</v>
    <v>11</v>
    <v>Taiwan Semiconductor Manufacturing Co., Ltd. (XNYS:TSM)</v>
    <v>2</v>
    <v>12</v>
    <v>Finance</v>
    <v>9</v>
    <v>145</v>
    <v>97.62</v>
    <v>0.91510000000000002</v>
    <v>-0.4</v>
    <v>-3.748E-3</v>
    <v>USD</v>
    <v>Taiwan Semiconductor Manufacturing Co., Ltd. is principally engaged in the manufacture and sale of integrated circuits and semiconductor products. The Company is mainly engaged in the manufacture, sale and packaging test of integrated circuits and other semiconductor devices, the manufacture of masks, as well as the provision of computer-aided design services. The Company's products are applied to personal computer (PCs) and peripheral products, information applications, wired and wireless communication systems, industrial equipment, consumer electronics such as digital video disc players, digital TVs, game consoles and digital cameras. The Company is also engaged in the development of 5 nanometer process technology, mask technology, complementary metal oxide semiconductor (CMOS) image sensor technology, three dimensional (3D) IC and TSMC system on integrated chips (TSMC-SoIC) technology, among others. The Company distributes its products to the United States, Asia and Europe.</v>
    <v>52045</v>
    <v>New York Stock Exchange</v>
    <v>XNYS</v>
    <v>XNYS</v>
    <v>No.8, Li-Hsin 6th Road, Hsinchu Science Park, HSINCHU, HSINCHU, 300 TW</v>
    <v>106.72</v>
    <v>Semiconductors &amp; Semiconductor Equipment</v>
    <v>Stock</v>
    <v>44648.999377060158</v>
    <v>152</v>
    <v>104.61</v>
    <v>540904700000</v>
    <v>Taiwan Semiconductor Manufacturing Co., Ltd.</v>
    <v>Taiwan Semiconductor Manufacturing Co., Ltd.</v>
    <v>105.62</v>
    <v>25.616700000000002</v>
    <v>106.73</v>
    <v>106.33</v>
    <v>5186354000</v>
    <v>TSM</v>
    <v>Taiwan Semiconductor Manufacturing Co., Ltd. (XNYS:TSM)</v>
    <v>7066</v>
    <v>15329658</v>
    <v>1987</v>
  </rv>
  <rv s="2">
    <v>153</v>
  </rv>
  <rv s="0">
    <v>https://www.bing.com/financeapi/forcetrigger?t=bgng6h&amp;q=XHKG%3a788&amp;form=skydnc</v>
    <v>Learn more on Bing</v>
  </rv>
  <rv s="7">
    <v>en-ID</v>
    <v>bgng6h</v>
    <v>268435456</v>
    <v>1</v>
    <v>Powered by Refinitiv</v>
    <v>13</v>
    <v>China Tower Corporation Limited (XHKG:788)</v>
    <v>2</v>
    <v>14</v>
    <v>Finance</v>
    <v>4</v>
    <v>1.19</v>
    <v>0.74</v>
    <v>0.59450000000000003</v>
    <v>0</v>
    <v>-5.7470999999999994E-2</v>
    <v>0</v>
    <v>-0.05</v>
    <v>HKD</v>
    <v>CHINA TOWER CORPORATION LIMITED is a China-based telecommunications tower infrastructure service provider. The Company mainly has three business segments. The Tower Business segment mainly uses sites to carry out macro cell and small cell businesses with telecommunications service providers (TSPs). The Indoor Distributed Antenna System (DAS) Business segment mainly provides indoor distributed antenna systems to TSPs and to attach their telecommunications equipment. The Trans-sector Site Application and Information Business (TSSAI business) segment mainly uses the sites dispersed nationwide and provide site resource services, including infrastructure, maintenance services and power services, to host different types of devices for customers from different industries and support them to build up different types of nationwide or regional networks.</v>
    <v>23300</v>
    <v>Hong Kong Stock Exchange</v>
    <v>XHKG</v>
    <v>XHKG</v>
    <v>China Tower Industrial Park, No. 9 Dongran North Street, Haidian District, BEIJING, BEIJING CN</v>
    <v>0.88</v>
    <v>Construction &amp; Engineering</v>
    <v>Stock</v>
    <v>44649.339085648149</v>
    <v>155</v>
    <v>0.86</v>
    <v>153127400000</v>
    <v>China Tower Corporation Limited</v>
    <v>China Tower Corporation Limited</v>
    <v>0.87</v>
    <v>16.89</v>
    <v>0.87</v>
    <v>0.87</v>
    <v>0.82</v>
    <v>176008500000</v>
    <v>788</v>
    <v>China Tower Corporation Limited (XHKG:788)</v>
    <v>57780740</v>
    <v>307858420</v>
    <v>2014</v>
  </rv>
  <rv s="2">
    <v>156</v>
  </rv>
  <rv s="0">
    <v>https://www.bing.com/financeapi/forcetrigger?t=a1nhlh&amp;q=XNAS%3aAMZN&amp;form=skydnc</v>
    <v>Learn more on Bing</v>
  </rv>
  <rv s="6">
    <v>en-ID</v>
    <v>a1nhlh</v>
    <v>268435456</v>
    <v>1</v>
    <v>Powered by Refinitiv</v>
    <v>11</v>
    <v>AMAZON.COM, INC. (XNAS:AMZN)</v>
    <v>2</v>
    <v>12</v>
    <v>Finance</v>
    <v>9</v>
    <v>3773.0781999999999</v>
    <v>2671.45</v>
    <v>1.1224000000000001</v>
    <v>84.34</v>
    <v>2.5592999999999998E-2</v>
    <v>USD</v>
    <v>Amazon.com, Inc. provides a range of products and services to customers. The products offered through its stores include merchandise and content that it purchased for resale and products offered by third-party sellers. It also manufactures and sells electronic devices, including Kindle, Fire tablet, Fire TV, Echo, and Ring, and it develops and produces media content. It operates through three segments: North America, International and Amazon Web Services (AWS). The AWS segment consists of global sales of compute, storage, database, and other services for start-ups, enterprises, government agencies, and academic institutions. It provides advertising services to sellers, vendors, publishers, authors, and others, through programs, such as sponsored advertisements, display, and video advertising. It serves consumers through its online and physical stores. Customers access its offerings through websites, mobile applications, Alexa, devices, streaming, and physically visiting its stores.</v>
    <v>1608000</v>
    <v>Nasdaq Stock Market</v>
    <v>XNAS</v>
    <v>XNAS</v>
    <v>410 Terry Ave N, SEATTLE, WA, 98109-5210 US</v>
    <v>3380.75</v>
    <v>Diversified Retail</v>
    <v>Stock</v>
    <v>44648.999853310153</v>
    <v>158</v>
    <v>3298</v>
    <v>1719797391564</v>
    <v>AMAZON.COM, INC.</v>
    <v>AMAZON.COM, INC.</v>
    <v>3299.5</v>
    <v>52.226700000000001</v>
    <v>3295.47</v>
    <v>3379.81</v>
    <v>508844400</v>
    <v>AMZN</v>
    <v>AMAZON.COM, INC. (XNAS:AMZN)</v>
    <v>2343</v>
    <v>3602581</v>
    <v>1996</v>
  </rv>
  <rv s="2">
    <v>159</v>
  </rv>
  <rv s="0">
    <v>http://en.wikipedia.org/wiki/Micron_Technology</v>
    <v>Wikipedia</v>
  </rv>
  <rv s="3">
    <v>10</v>
    <v>161</v>
  </rv>
  <rv s="4">
    <v>10</v>
    <v>https://www.bing.com/th?id=AMMS_859e01ab6a50ed86a738e78dc1d269e1&amp;qlt=95</v>
    <v>162</v>
    <v>0</v>
    <v>https://www.bing.com/images/search?form=xlimg&amp;q=micron+technology</v>
    <v>Image of MICRON TECHNOLOGY, INC.</v>
  </rv>
  <rv s="0">
    <v>https://www.bing.com/financeapi/forcetrigger?t=a1y4oc&amp;q=XNAS%3aMU&amp;form=skydnc</v>
    <v>Learn more on Bing</v>
  </rv>
  <rv s="5">
    <v>en-ID</v>
    <v>a1y4oc</v>
    <v>268435456</v>
    <v>1</v>
    <v>Powered by Refinitiv</v>
    <v>5</v>
    <v>MICRON TECHNOLOGY, INC. (XNAS:MU)</v>
    <v>7</v>
    <v>8</v>
    <v>Finance</v>
    <v>9</v>
    <v>98.45</v>
    <v>65.67</v>
    <v>1.1597999999999999</v>
    <v>1.76</v>
    <v>2.2534999999999999E-2</v>
    <v>USD</v>
    <v>Micron Technology, Inc. offers memory and storage solutions. The Company's portfolio of memory and storage technologies, including dynamic random-access memory (DRAM), negative-AND (NAND), three-dimensional (3D) XPoint memory, and NOR. Its brands include Micron and Crucial. Its business segments include Compute and Networking Business Unit (CNBU), which includes memory products sold into client, cloud server, enterprise, graphics, and networking markets; Mobile Business Unit (MBU), which includes memory products sold into smartphone and other mobile-device markets; Storage Business Unit (SBU), which includes solid state drives (SSDs) and solutions sold into enterprise, cloud, client, and consumer storage markets, other storage products sold in component and wafer form, and Embedded Business Unit (EBU), which includes memory and storage products sold into automotive, industrial, and consumer markets.</v>
    <v>43000</v>
    <v>Nasdaq Stock Market</v>
    <v>XNAS</v>
    <v>XNAS</v>
    <v>8000 S Federal Way, Po Box 6, BOISE, ID, 83716-9632 US</v>
    <v>80.180000000000007</v>
    <v>163</v>
    <v>Semiconductors &amp; Semiconductor Equipment</v>
    <v>Stock</v>
    <v>44648.999825335159</v>
    <v>164</v>
    <v>77.27</v>
    <v>89425391220</v>
    <v>MICRON TECHNOLOGY, INC.</v>
    <v>MICRON TECHNOLOGY, INC.</v>
    <v>78.59</v>
    <v>12.1791</v>
    <v>78.099999999999994</v>
    <v>79.86</v>
    <v>1119777000</v>
    <v>MU</v>
    <v>MICRON TECHNOLOGY, INC. (XNAS:MU)</v>
    <v>48889</v>
    <v>23767524</v>
    <v>1984</v>
  </rv>
  <rv s="2">
    <v>165</v>
  </rv>
  <rv s="0">
    <v>https://www.bing.com/financeapi/forcetrigger?t=ah5lh7&amp;q=XHKG%3a700&amp;form=skydnc</v>
    <v>Learn more on Bing</v>
  </rv>
  <rv s="7">
    <v>en-ID</v>
    <v>ah5lh7</v>
    <v>268435456</v>
    <v>1</v>
    <v>Powered by Refinitiv</v>
    <v>13</v>
    <v>Tencent Holdings Limited (XHKG:700)</v>
    <v>2</v>
    <v>14</v>
    <v>Finance</v>
    <v>4</v>
    <v>638.65499999999997</v>
    <v>297</v>
    <v>1.3203</v>
    <v>10.8</v>
    <v>0</v>
    <v>2.9475999999999999E-2</v>
    <v>0</v>
    <v>HKD</v>
    <v>Tencent Holdings Limited is an investment holding company principally involved in the provision of value-added services (VAS) and online advertising services. The Company operates through three main segments. The VAS segment is mainly involved in provision of online/mobile games, community value-added services and applications across various Internet and mobile platforms. The Online Advertising segment is mainly engaged in display based and performance based advertisements. The Others segment is mainly involved in provision of payment related services, cloud services and other services.</v>
    <v>107348</v>
    <v>Hong Kong Stock Exchange</v>
    <v>XHKG</v>
    <v>XHKG</v>
    <v>Tencent Binhai Towers, No. 33 Haitian 2nd Road, Nanshan District, SHENZHEN, GUANGDONG, 518054 CN</v>
    <v>380.4</v>
    <v>Software &amp; IT Services</v>
    <v>Stock</v>
    <v>44649.339085648149</v>
    <v>167</v>
    <v>370</v>
    <v>3521928000000</v>
    <v>Tencent Holdings Limited</v>
    <v>Tencent Holdings Limited</v>
    <v>371</v>
    <v>13.03</v>
    <v>366.4</v>
    <v>377.2</v>
    <v>377.2</v>
    <v>9612248000</v>
    <v>700</v>
    <v>Tencent Holdings Limited (XHKG:700)</v>
    <v>20901992</v>
    <v>58964700</v>
    <v>2004</v>
  </rv>
  <rv s="2">
    <v>168</v>
  </rv>
  <rv s="0">
    <v>https://www.bing.com/financeapi/forcetrigger?t=a24mnm&amp;q=XNAS%3aTTWO&amp;form=skydnc</v>
    <v>Learn more on Bing</v>
  </rv>
  <rv s="6">
    <v>en-ID</v>
    <v>a24mnm</v>
    <v>268435456</v>
    <v>1</v>
    <v>Powered by Refinitiv</v>
    <v>11</v>
    <v>TAKE-TWO INTERACTIVE SOFTWARE, INC. (XNAS:TTWO)</v>
    <v>2</v>
    <v>12</v>
    <v>Finance</v>
    <v>17</v>
    <v>195.82499999999999</v>
    <v>133.54</v>
    <v>0.63839999999999997</v>
    <v>2</v>
    <v>1.2945E-2</v>
    <v>USD</v>
    <v>Take-Two Interactive Software, Inc. is a developer, publisher, and marketer of interactive entertainment for consumers around the world. The Company develops and publishes products through its labels, Rockstar Games, 2K, Private Division, Social Point, and Playdots. Its products are designed for console gaming systems, including Sony's PlayStation 4 and PlayStation 5; Microsoft's Xbox One and Xbox Series XS; and Nintendo's Switch, as well as personal computers, including smartphones and tablets. The Company delivers its products through physical retail, digital download, online platforms, and cloud streaming services. The Company is focused on publishing a select number of titles based on internally owned and developed intellectual properties. In addition, it selectively develops titles based on licensed properties, including sports leagues, and also publishes externally developed titles.</v>
    <v>6495</v>
    <v>Nasdaq Stock Market</v>
    <v>XNAS</v>
    <v>XNAS</v>
    <v>110 W 44th St, NEW YORK, NY, 10036-4011 US</v>
    <v>156.91</v>
    <v>Leisure Products</v>
    <v>Stock</v>
    <v>44648.951135312498</v>
    <v>170</v>
    <v>153.82499999999999</v>
    <v>18062635300</v>
    <v>TAKE-TWO INTERACTIVE SOFTWARE, INC.</v>
    <v>TAKE-TWO INTERACTIVE SOFTWARE, INC.</v>
    <v>154.66</v>
    <v>34.713799999999999</v>
    <v>154.5</v>
    <v>156.5</v>
    <v>115416200</v>
    <v>TTWO</v>
    <v>TAKE-TWO INTERACTIVE SOFTWARE, INC. (XNAS:TTWO)</v>
    <v>1</v>
    <v>1865034</v>
    <v>1993</v>
  </rv>
  <rv s="2">
    <v>171</v>
  </rv>
  <rv s="0">
    <v>https://www.bing.com/financeapi/forcetrigger?t=a1sqr7&amp;q=XNYS%3aFDX&amp;form=skydnc</v>
    <v>Learn more on Bing</v>
  </rv>
  <rv s="6">
    <v>en-ID</v>
    <v>a1sqr7</v>
    <v>268435456</v>
    <v>1</v>
    <v>Powered by Refinitiv</v>
    <v>11</v>
    <v>FEDEX CORPORATION (XNYS:FDX)</v>
    <v>2</v>
    <v>12</v>
    <v>Finance</v>
    <v>17</v>
    <v>319.89999999999998</v>
    <v>199.03</v>
    <v>1.3134999999999999</v>
    <v>3.49</v>
    <v>1.5403999999999999E-2</v>
    <v>USD</v>
    <v>FedEx Corporation (FedEx) provides a portfolio of transportation, e-commerce and business services through companies competing collectively and operating independently, under the FedEx brand. The Company's segments include FedEx Express, FedEx Ground, FedEx Freight and FedEx Services. The FedEx Express segment offers a range of United States domestic and international shipping services for delivery of packages and freight. The FedEx Ground segment provides small-package ground delivery services, which includes day-certain service to any business address in the United States and Canada, as well as residential delivery services through its FedEx Home Delivery service. The FedEx Freight segment offers less-than-truckload (LTL) freight services. The FedEx Services segment provides sales, marketing, information technology, communications, customer service, technical support, billing and collection services, and certain back-office functions that support the Company's operating segments.</v>
    <v>228000</v>
    <v>New York Stock Exchange</v>
    <v>XNYS</v>
    <v>XNYS</v>
    <v>942 Shady Grove Rd S, MEMPHIS, TN, 38120-4117 US</v>
    <v>230.16</v>
    <v>Freight &amp; Logistics Services</v>
    <v>Stock</v>
    <v>44648.999959548441</v>
    <v>173</v>
    <v>225.62</v>
    <v>59623944910</v>
    <v>FEDEX CORPORATION</v>
    <v>FEDEX CORPORATION</v>
    <v>226.84</v>
    <v>12.6777</v>
    <v>226.56</v>
    <v>230.05</v>
    <v>259178200</v>
    <v>FDX</v>
    <v>FEDEX CORPORATION (XNYS:FDX)</v>
    <v>29</v>
    <v>2839241</v>
    <v>1997</v>
  </rv>
  <rv s="2">
    <v>174</v>
  </rv>
  <rv s="0">
    <v>https://www.bing.com/financeapi/forcetrigger?t=bpb2fr&amp;q=XNAS%3aFUTU&amp;form=skydnc</v>
    <v>Learn more on Bing</v>
  </rv>
  <rv s="9">
    <v>en-ID</v>
    <v>bpb2fr</v>
    <v>268435456</v>
    <v>1</v>
    <v>Powered by Refinitiv</v>
    <v>20</v>
    <v>FUTU HOLDINGS LIMITED (XNAS:FUTU)</v>
    <v>2</v>
    <v>21</v>
    <v>Finance</v>
    <v>9</v>
    <v>181.44</v>
    <v>21.23</v>
    <v>0.5</v>
    <v>1.3419E-2</v>
    <v>USD</v>
    <v>Futu Holdings Limited is an investment holding company engaged in offering digitized brokerage platforms. The Company is involved in the provision of online brokerage services and margin financing services through software and websites. The Company mainly provides investing services through its digital brokerage platform under the name of Futu NiuNiu. The Company’s service offerings include trade executions and margin financings, which allow its clients to trade securities across markets, such as stocks, warrants, options and exchange traded funds (ETFs). In addition, the Company also provides financial information and online community services.</v>
    <v>2318</v>
    <v>Nasdaq Stock Market</v>
    <v>XNAS</v>
    <v>XNAS</v>
    <v>9F Unit 3 Building C Kexing Science Park, 15 Keyuan Road, Technology Park, Nanshan District, SHENZHEN, GUANGDONG, 518057 CN</v>
    <v>38.909999999999997</v>
    <v>Financial Technology (Fintech) &amp; Infrastructure</v>
    <v>Stock</v>
    <v>44648.999961539062</v>
    <v>176</v>
    <v>36.335000000000001</v>
    <v>5473286000</v>
    <v>FUTU HOLDINGS LIMITED</v>
    <v>FUTU HOLDINGS LIMITED</v>
    <v>38.090000000000003</v>
    <v>15.782500000000001</v>
    <v>37.26</v>
    <v>37.76</v>
    <v>146992100</v>
    <v>FUTU</v>
    <v>FUTU HOLDINGS LIMITED (XNAS:FUTU)</v>
    <v>94382</v>
    <v>8824503</v>
    <v>2014</v>
  </rv>
  <rv s="2">
    <v>177</v>
  </rv>
  <rv s="0">
    <v>https://www.bing.com/financeapi/forcetrigger?t=bjojk2&amp;q=XNAS%3aPDD&amp;form=skydnc</v>
    <v>Learn more on Bing</v>
  </rv>
  <rv s="6">
    <v>en-ID</v>
    <v>bjojk2</v>
    <v>268435456</v>
    <v>1</v>
    <v>Powered by Refinitiv</v>
    <v>11</v>
    <v>PINDUODUO INC. (XNAS:PDD)</v>
    <v>2</v>
    <v>12</v>
    <v>Finance</v>
    <v>9</v>
    <v>152.06</v>
    <v>23.21</v>
    <v>1.3354999999999999</v>
    <v>-0.56999999999999995</v>
    <v>-1.2884E-2</v>
    <v>USD</v>
    <v>Pinduoduo Inc. is an e-commerce platform operator. It offers Pinduoduo, a mobile e-commerce platform. The Company’s platform provides value-for-money merchandise and interactive shopping options. The platform is built to resemble a virtual bazaar of a broad spectrum of products. It offers both individual and team purchase options. It offers a suite of product categories that include apparel, shoes, bags, childcare products, food and beverage, fresh produce, electronic appliances, furniture, household goods, cosmetics, sports and fitness goods, and auto accessories. The platform provides a range of online payment options that include Weixin Pay, QQ Wallet, Alipay and Apple Pay.</v>
    <v>7986</v>
    <v>Nasdaq Stock Market</v>
    <v>XNAS</v>
    <v>XNAS</v>
    <v>28F, No. 533 Loushanguan Road, Changning District, SHANGHAI, SHANGHAI, 200051 CN</v>
    <v>45.14</v>
    <v>Software &amp; IT Services</v>
    <v>Stock</v>
    <v>44648.999907060155</v>
    <v>179</v>
    <v>41.1</v>
    <v>54731130630</v>
    <v>PINDUODUO INC.</v>
    <v>PINDUODUO INC.</v>
    <v>44.99</v>
    <v>53.711100000000002</v>
    <v>44.24</v>
    <v>43.67</v>
    <v>1253289000</v>
    <v>PDD</v>
    <v>PINDUODUO INC. (XNAS:PDD)</v>
    <v>68781</v>
    <v>25023209</v>
    <v>2015</v>
  </rv>
  <rv s="2">
    <v>180</v>
  </rv>
  <rv s="0">
    <v>https://www.bing.com/financeapi/forcetrigger?t=ah59bh&amp;q=XHKG%3a6060&amp;form=skydnc</v>
    <v>Learn more on Bing</v>
  </rv>
  <rv s="7">
    <v>en-US</v>
    <v>ah59bh</v>
    <v>268435456</v>
    <v>1</v>
    <v>Powered by Refinitiv</v>
    <v>13</v>
    <v>ZhongAn Online P &amp; C Insurance Co., Ltd. (XHKG:6060)</v>
    <v>2</v>
    <v>14</v>
    <v>Finance</v>
    <v>4</v>
    <v>50.85</v>
    <v>18.2</v>
    <v>1.4341999999999999</v>
    <v>0.3</v>
    <v>-1.1896E-2</v>
    <v>1.1278E-2</v>
    <v>-0.32</v>
    <v>HKD</v>
    <v>ZhongAn Online P &amp; C Insurance Co., Ltd. is a China-based online insurance company. The Company provides insurance services include lifestyle consumption insurance, consumer finance insurance, health insurance, auto insurance and travel insurance. The Company’s products include shipping return policy, online payment security insurance, account security insurance, phone accident policy, phone screen crack policy, Baobei Open Platform, Mashanghua, individual health insurance, group health insurance plans, flight accident and delay policy and among others.</v>
    <v>3294</v>
    <v>Hong Kong Stock Exchange</v>
    <v>XHKG</v>
    <v>XHKG</v>
    <v>No. 219 Yuanmingyuan Road, SHANGHAI, SHANGHAI CN</v>
    <v>27.1</v>
    <v>Insurance</v>
    <v>Stock</v>
    <v>44649.339085648149</v>
    <v>182</v>
    <v>26.55</v>
    <v>39097020000</v>
    <v>ZhongAn Online P &amp; C Insurance Co., Ltd.</v>
    <v>ZhongAn Online P &amp; C Insurance Co., Ltd.</v>
    <v>27.1</v>
    <v>27.66</v>
    <v>26.6</v>
    <v>26.9</v>
    <v>26.58</v>
    <v>1469813000</v>
    <v>6060</v>
    <v>ZhongAn Online P &amp; C Insurance Co., Ltd. (XHKG:6060)</v>
    <v>3232845</v>
    <v>10045110</v>
    <v>2013</v>
  </rv>
  <rv s="2">
    <v>183</v>
  </rv>
  <rv s="1">
    <v>en-US</v>
    <v>bsrlk2</v>
    <v>268435456</v>
    <v>1</v>
    <v>Powered by Refinitiv</v>
    <v>0</v>
    <v>Alibaba Group Holding Limited (XHKG:9988)</v>
    <v>2</v>
    <v>3</v>
    <v>Finance</v>
    <v>4</v>
    <v>241.6</v>
    <v>71</v>
    <v>2.4</v>
    <v>0</v>
    <v>2.1602E-2</v>
    <v>0</v>
    <v>HKD</v>
    <v>Alibaba Group Holding Ltd is a holding company that provides the technology infrastructure and marketing reach to help merchants, brands and other businesses to leverage the power of new technology to engage with users and customers to operate. The Company operates four business segments. The Core Commerce segment provides China retail, China wholesale, International retail, International wholesale, Cainiao logistics services and local consumer services through Taobao Marketplace and Tmall. The Cloud Computing segment provides complete suite of cloud services, including database, storage, network virtualization services, big data analytics and others. The Digital Media and Entertainment segment provides consumer services beyond the core business operations. The Innovation Initiatives and Others segment is to innovate and deliver new services and products.</v>
    <v>259316</v>
    <v>Hong Kong Stock Exchange</v>
    <v>XHKG</v>
    <v>XHKG</v>
    <v>No. 699 Wangshang Road, Binjiang District, HANGZHOU, ZHEJIANG, 310052 CN</v>
    <v>114.8</v>
    <v>Software &amp; IT Services</v>
    <v>Stock</v>
    <v>44649.339085648149</v>
    <v>0</v>
    <v>112.2</v>
    <v>2404222000000</v>
    <v>Alibaba Group Holding Limited</v>
    <v>Alibaba Group Holding Limited</v>
    <v>112.7</v>
    <v>30.62</v>
    <v>111.1</v>
    <v>113.5</v>
    <v>113.5</v>
    <v>21745430000</v>
    <v>9988</v>
    <v>Alibaba Group Holding Limited (XHKG:9988)</v>
    <v>28129247</v>
    <v>96449900</v>
    <v>1999</v>
  </rv>
  <rv s="2">
    <v>185</v>
  </rv>
  <rv s="0">
    <v>http://en.wikipedia.org/wiki/Alphabet_Inc.</v>
    <v>Wikipedia</v>
  </rv>
  <rv s="3">
    <v>10</v>
    <v>187</v>
  </rv>
  <rv s="4">
    <v>10</v>
    <v>https://www.bing.com/th?id=AMMS_91f59ff6c9305ce24b1cf0389cd856f8&amp;qlt=95</v>
    <v>188</v>
    <v>0</v>
    <v>https://www.bing.com/images/search?form=xlimg&amp;q=alphabet+inc.</v>
    <v>Image of ALPHABET INC.</v>
  </rv>
  <rv s="0">
    <v>https://www.bing.com/financeapi/forcetrigger?t=a1u3p2&amp;q=XNAS%3aGOOG&amp;form=skydnc</v>
    <v>Learn more on Bing</v>
  </rv>
  <rv s="5">
    <v>en-ID</v>
    <v>a1u3p2</v>
    <v>268435456</v>
    <v>1</v>
    <v>Powered by Refinitiv</v>
    <v>5</v>
    <v>ALPHABET INC. (XNAS:GOOG)</v>
    <v>7</v>
    <v>8</v>
    <v>Finance</v>
    <v>9</v>
    <v>3042</v>
    <v>2015.62</v>
    <v>1.0650999999999999</v>
    <v>8.57</v>
    <v>3.0280000000000003E-3</v>
    <v>USD</v>
    <v>Alphabet Inc. is a holding company. The Company's segments include Google Services, Google Cloud and Other Bets. Google Services includes products and services such as ads, Android, Chrome, hardware, Google Maps, Google Play, Search, and YouTube. Google Cloud includes Google’s infrastructure and data analytics platforms, collaboration tools, and other services for enterprise customers. Its Google Cloud provides enterprise-ready cloud services, including Google Cloud Platform and Google Workspace. Its Google Cloud Platform enables developers to build, test, and deploy applications on its infrastructure. Its Google Workspace collaboration tools include applications like Gmail, Docs, Drive, Calendar and Meet. Its hardware products include Pixel phones, Chromecast with Google TV and the Google Nest Hub smart display. The Other Bets segment is engaged in the sales of Internet and television services, licensing and research and development (R&amp;D) services.</v>
    <v>156500</v>
    <v>Nasdaq Stock Market</v>
    <v>XNAS</v>
    <v>XNAS</v>
    <v>1600 Amphitheatre Pkwy, MOUNTAIN VIEW, CA, 94043-1351 US</v>
    <v>2839.53</v>
    <v>189</v>
    <v>Software &amp; IT Services</v>
    <v>Stock</v>
    <v>44648.99998885391</v>
    <v>190</v>
    <v>2796.5626999999999</v>
    <v>1871879000000</v>
    <v>ALPHABET INC.</v>
    <v>ALPHABET INC.</v>
    <v>2813.69</v>
    <v>25.291599999999999</v>
    <v>2830.43</v>
    <v>2839</v>
    <v>660971300</v>
    <v>GOOG</v>
    <v>ALPHABET INC. (XNAS:GOOG)</v>
    <v>1037</v>
    <v>1461451</v>
    <v>2015</v>
  </rv>
  <rv s="2">
    <v>191</v>
  </rv>
  <rv s="0">
    <v>https://www.bing.com/financeapi/forcetrigger?t=a21icw&amp;q=XNAS%3aPYPL&amp;form=skydnc</v>
    <v>Learn more on Bing</v>
  </rv>
  <rv s="6">
    <v>en-ID</v>
    <v>a21icw</v>
    <v>268435456</v>
    <v>1</v>
    <v>Powered by Refinitiv</v>
    <v>11</v>
    <v>PAYPAL HOLDINGS, INC. (XNAS:PYPL)</v>
    <v>2</v>
    <v>12</v>
    <v>Finance</v>
    <v>9</v>
    <v>310.16000000000003</v>
    <v>92.25</v>
    <v>1.2879</v>
    <v>2.41</v>
    <v>2.1184999999999999E-2</v>
    <v>USD</v>
    <v>PayPal Holdings, Inc. is a technology platform that enables digital payments and commerce experiences on behalf of merchants and consumers across the world. It operates a global, two-sided network at scale that connects merchants and consumers with 426 million active accounts across more than 200 markets. Its brands include PayPal, Braintree, Venmo, Xoom, Zettle, Hyperwallet, Honey, Happy Returns by PayPal, Chargehound, Paidy and Simility. The Company helps merchants and consumers connect, transact, and complete payments, whether they are online or in person. It enables consumers to exchange funds with merchants using a range of funding sources, which may include a bank account, a PayPal or Venmo account balance, PayPal and Venmo branded credit products, a credit card, a debit card, certain cryptocurrencies, or other stored value products, such as gift cards, and eligible credit card rewards. It also offers consumers person-to-person (P2P) payment solutions.</v>
    <v>30900</v>
    <v>Nasdaq Stock Market</v>
    <v>XNAS</v>
    <v>XNAS</v>
    <v>2211 N 1st St, SAN JOSE, CA, 95131 US</v>
    <v>117.1</v>
    <v>Software &amp; IT Services</v>
    <v>Stock</v>
    <v>44648.999898113281</v>
    <v>193</v>
    <v>112.36</v>
    <v>135338630850</v>
    <v>PAYPAL HOLDINGS, INC.</v>
    <v>PAYPAL HOLDINGS, INC.</v>
    <v>114</v>
    <v>33.068600000000004</v>
    <v>113.76</v>
    <v>116.17</v>
    <v>1165005000</v>
    <v>PYPL</v>
    <v>PAYPAL HOLDINGS, INC. (XNAS:PYPL)</v>
    <v>14610</v>
    <v>22039979</v>
    <v>2015</v>
  </rv>
  <rv s="2">
    <v>194</v>
  </rv>
  <rv s="0">
    <v>https://www.bing.com/financeapi/forcetrigger?t=bgnyp2&amp;q=XHKG%3a1810&amp;form=skydnc</v>
    <v>Learn more on Bing</v>
  </rv>
  <rv s="7">
    <v>en-US</v>
    <v>bgnyp2</v>
    <v>268435456</v>
    <v>1</v>
    <v>Powered by Refinitiv</v>
    <v>13</v>
    <v>XIAOMI CORPORATION (XHKG:1810)</v>
    <v>2</v>
    <v>14</v>
    <v>Finance</v>
    <v>4</v>
    <v>30.45</v>
    <v>11.38</v>
    <v>1.2497</v>
    <v>-0.36</v>
    <v>-1.4159999999999999E-3</v>
    <v>-2.4862000000000002E-2</v>
    <v>-0.02</v>
    <v>HKD</v>
    <v>XIAOMI CORPORATION is a China-based investment holding company principally engaged in the research, development and sales of smartphones, Internet of things (IoTs) and lifestyle products, the provision of Internet services, and investment business. The Company mainly conducts its businesses through four segments. The Smartphone segment is engaged in the sales of smartphones. The IoT and Lifestyle product segment is engaged in the sales of other in-house products, including smart televisions (TVs), laptops, artificial intelligence (AI) speakers and smart routers; ecosystem products, including IoT and other smart hardware products, as well as certain lifestyle products. The Internet service segment is engaged in the provision of advertising services and Internet value-added services. The Others segment is engaged in the provision of repair services for its hardware products. The Company distributes its products in domestic market and to overseas markets.</v>
    <v>31366</v>
    <v>Hong Kong Stock Exchange</v>
    <v>XHKG</v>
    <v>XHKG</v>
    <v>Xiaomi Campus, Anningzhuang Road, Haidian District, BEIJING, BEIJING CN</v>
    <v>14.58</v>
    <v>Computers, Phones &amp; Household Electronics</v>
    <v>Stock</v>
    <v>44649.339085648149</v>
    <v>196</v>
    <v>13.38</v>
    <v>361708000000</v>
    <v>XIAOMI CORPORATION</v>
    <v>XIAOMI CORPORATION</v>
    <v>14.48</v>
    <v>14.83</v>
    <v>14.48</v>
    <v>14.12</v>
    <v>14.1</v>
    <v>24979640000</v>
    <v>1810</v>
    <v>XIAOMI CORPORATION (XHKG:1810)</v>
    <v>336743632</v>
    <v>176873520</v>
    <v>2010</v>
  </rv>
  <rv s="2">
    <v>197</v>
  </rv>
  <rv s="11">
    <v>en-US</v>
    <v>a1w2u2</v>
    <v>268435456</v>
    <v>1</v>
    <v>Powered by Refinitiv</v>
    <v>24</v>
    <v>JD.COM, INC. (XNAS:JD)</v>
    <v>2</v>
    <v>25</v>
    <v>Finance</v>
    <v>9</v>
    <v>92.69</v>
    <v>41.56</v>
    <v>0.65980000000000005</v>
    <v>-0.15</v>
    <v>-2.503E-3</v>
    <v>USD</v>
    <v>JD.com Inc is a holding company mainly engaged in e-commerce business. The Company operates two segments. JD Retail segment consists of online retail, online marketplace and marketing services in China. The Company offers electronics products, home appliances and other general merchandise categories. The Company has its own online platform, which third-party merchants offer products on it. The Company provides marketing and display advertising services to third-party merchants, suppliers and other business partners on its website channels. New Businesses segment includes logistics services provided to third parties, overseas business, technology initiatives, as well as asset management services to logistics property investors and sale of development properties. It offers comprehensive supply chain solutions to third parties through JD Logistics, including warehousing, transportation, delivery and after-sales service. The Company mainly conducts its businesses in the China market.</v>
    <v>314906</v>
    <v>Nasdaq Stock Market</v>
    <v>XNAS</v>
    <v>XNAS</v>
    <v>20Th Floor, Building A, No. 18 Kechuang, Yizhuang Bda, Daxing District, BEIJING, BEIJING, 101111 CN</v>
    <v>60.1</v>
    <v>Diversified Retail</v>
    <v>Stock</v>
    <v>44648.999922615621</v>
    <v>146</v>
    <v>56.962000000000003</v>
    <v>91538540000</v>
    <v>JD.COM, INC.</v>
    <v>JD.COM, INC.</v>
    <v>58.14</v>
    <v>24.939399999999999</v>
    <v>59.92</v>
    <v>59.77</v>
    <v>1564897000</v>
    <v>JD</v>
    <v>JD.COM, INC. (XNAS:JD)</v>
    <v>40731</v>
    <v>21599669</v>
  </rv>
  <rv s="2">
    <v>199</v>
  </rv>
  <rv s="0">
    <v>https://www.bing.com/financeapi/forcetrigger?t=a1pn4c&amp;q=XNYS%3aCHL&amp;form=skydnc</v>
    <v>Learn more on Bing</v>
  </rv>
  <rv s="14">
    <v>en-ID</v>
    <v>a1pn4c</v>
    <v>268435456</v>
    <v>1</v>
    <v>1</v>
    <v>Powered by Refinitiv</v>
    <v>32</v>
    <v>China Mobile Limited (XNYS:CHL)</v>
    <v>33</v>
    <v>34</v>
    <v>Finance</v>
    <v>17</v>
    <v>44.93</v>
    <v>25.35</v>
    <v>0.47849999999999998</v>
    <v>1.63</v>
    <v>6.2572000000000003E-2</v>
    <v>USD</v>
    <v>China Mobile Limited is an investment holding company principally engaged in telecommunication and related businesses. Its main businesses include Mobile businesses, Wireline Broadband businesses and Internet of Things (IoT) businesses. Mobile businesses include two categories of services. Voice services include local calls, domestic and international long distance calls, roaming services and voice value-added services. Data services include short message services and multimedia message services, wireless data traffic services and application and information services, such as Mobile Music, Mobile Reading and Mobile Video, among others. Wireline Broadband businesses include the provision of wireline broadband and related services. The Company also provides customer services, including phone bill enquiry, among others. The Company mainly operates businesses in Mainland China.</v>
    <v>451000</v>
    <v>New York Stock Exchange</v>
    <v>XNYS</v>
    <v>XNYS</v>
    <v>No. 29, Financial Street, Xicheng District, BEIJING, BEIJING, 100032 CN</v>
    <v>27.87</v>
    <v>Telecommunications Services</v>
    <v>Stock</v>
    <v>44204.941452453124</v>
    <v>201</v>
    <v>26.14</v>
    <v>121199000000</v>
    <v>China Mobile Limited</v>
    <v>China Mobile Limited</v>
    <v>26.4</v>
    <v>7.4844999999999997</v>
    <v>26.05</v>
    <v>27.68</v>
    <v>4095097000</v>
    <v>CHL</v>
    <v>China Mobile Limited (XNYS:CHL)</v>
    <v>7600959</v>
    <v>5126287</v>
    <v>1997</v>
  </rv>
  <rv s="2">
    <v>202</v>
  </rv>
  <rv s="0">
    <v>https://www.bing.com/financeapi/forcetrigger?t=b178ec&amp;q=XNAS%3aYQ&amp;form=skydnc</v>
    <v>Learn more on Bing</v>
  </rv>
  <rv s="15">
    <v>en-ID</v>
    <v>b178ec</v>
    <v>268435456</v>
    <v>1</v>
    <v>Powered by Refinitiv</v>
    <v>35</v>
    <v>17 EDUCATION &amp; TECHNOLOGY GROUP INC. (XNAS:YQ)</v>
    <v>2</v>
    <v>36</v>
    <v>Finance</v>
    <v>37</v>
    <v>31.6</v>
    <v>0.88019999999999998</v>
    <v>-0.25</v>
    <v>-8.1966999999999998E-2</v>
    <v>USD</v>
    <v>17 Education &amp; Technology Group Inc is a holding company mainly providing education technology services with an in-school and after-school integrated model. Its smart in-school classroom solution delivers data-driven teaching, learning and assessment products to teachers, students and parents across many kindergarten through twelfth grade (K-12) schools. The core functions of its in-school products are free of charge for teachers, students and parents to use. It also offers online K-12 large-class after-school tutoring services that complement students’ in-school learning. The Company mainly conducts its businesses in the China market.</v>
    <v>3156</v>
    <v>Nasdaq Stock Market</v>
    <v>XNAS</v>
    <v>XNAS</v>
    <v>16/F, Block B, Wangjing Greenland Center, Chaoyang District, BEIJING, BEIJING, 100102 CN</v>
    <v>3.16</v>
    <v>Miscellaneous Educational Service Providers</v>
    <v>Stock</v>
    <v>44648.999113171092</v>
    <v>204</v>
    <v>2.75</v>
    <v>150410400</v>
    <v>17 EDUCATION &amp; TECHNOLOGY GROUP INC.</v>
    <v>17 EDUCATION &amp; TECHNOLOGY GROUP INC.</v>
    <v>3.07</v>
    <v>3.05</v>
    <v>2.8</v>
    <v>2.8</v>
    <v>4931490</v>
    <v>YQ</v>
    <v>17 EDUCATION &amp; TECHNOLOGY GROUP INC. (XNAS:YQ)</v>
    <v>2</v>
    <v>365387</v>
    <v>2012</v>
  </rv>
  <rv s="2">
    <v>205</v>
  </rv>
  <rv s="0">
    <v>https://www.bing.com/financeapi/forcetrigger?t=a2xwk2&amp;q=OTCM%3aTCEHY&amp;form=skydnc</v>
    <v>Learn more on Bing</v>
  </rv>
  <rv s="16">
    <v>en-ID</v>
    <v>a2xwk2</v>
    <v>268435456</v>
    <v>1</v>
    <v>Powered by Refinitiv</v>
    <v>38</v>
    <v>Tencent Holdings Limited (OTCM:TCEHY)</v>
    <v>2</v>
    <v>39</v>
    <v>Finance</v>
    <v>16</v>
    <v>82.613200000000006</v>
    <v>37.92</v>
    <v>1.3203</v>
    <v>0</v>
    <v>0</v>
    <v>USD</v>
    <v>Tencent Holdings Limited is an investment holding company principally involved in the provision of value-added services (VAS) and online advertising services. The Company operates through three main segments. The VAS segment is mainly involved in provision of online/mobile games, community value-added services and applications across various Internet and mobile platforms. The Online Advertising segment is mainly engaged in display based and performance based advertisements. The Others segment is mainly involved in provision of payment related services, cloud services and other services.</v>
    <v>107348</v>
    <v>OTC Markets</v>
    <v>OTCM</v>
    <v>OTCM</v>
    <v>Tencent Binhai Towers, No. 33 Haitian 2nd Road, Nanshan District, SHENZHEN, GUANGDONG, 518054 CN</v>
    <v>47.58</v>
    <v>Software &amp; IT Services</v>
    <v>Stock</v>
    <v>44648.857249860936</v>
    <v>207</v>
    <v>46.45</v>
    <v>3425805000000</v>
    <v>Tencent Holdings Limited</v>
    <v>Tencent Holdings Limited</v>
    <v>46.55</v>
    <v>47.42</v>
    <v>47.42</v>
    <v>9612248000</v>
    <v>TCEHY</v>
    <v>Tencent Holdings Limited (OTCM:TCEHY)</v>
    <v>5205187</v>
    <v>54967010</v>
    <v>2004</v>
  </rv>
  <rv s="2">
    <v>208</v>
  </rv>
  <rv s="0">
    <v>https://www.bing.com/financeapi/forcetrigger?t=bxf8mw&amp;q=XNAS%3aBMBL&amp;form=skydnc</v>
    <v>Learn more on Bing</v>
  </rv>
  <rv s="9">
    <v>en-ID</v>
    <v>bxf8mw</v>
    <v>268435456</v>
    <v>1</v>
    <v>Powered by Refinitiv</v>
    <v>20</v>
    <v>BUMBLE INC. (XNAS:BMBL)</v>
    <v>2</v>
    <v>21</v>
    <v>Finance</v>
    <v>9</v>
    <v>64.78</v>
    <v>15.41</v>
    <v>0.82</v>
    <v>2.9108999999999999E-2</v>
    <v>USD</v>
    <v>Bumble Inc. is a holding company. The Company is primarily engaged in online dating platform business. Its platform enables people to connect and build equitable and healthy relationships on their own terms. It operates two dating mobile applications (app), such as Bumble and Badoo. The Bumble app is built with women at the center. Its subscription offerings include Bumble Boost and Bumble Premium, which provide users with additional features. It offers users flexible subscription plans, such as 7-day, 30-day and 90-day. In addition to dating, it also provides products, including Bumble BFF for friendships and Bumble Bizz for professional networking and mentorship. Its serves across countries, including the United States, United Kingdom, Australia and Canada. The Badoo app offers Web and mobile free-to-use dating products. It focuses on building meaningful connections to everyone. Its subscription offerings on Badoo app are Badoo Premium and Badoo Premium Plus.</v>
    <v>900</v>
    <v>Nasdaq Stock Market</v>
    <v>XNAS</v>
    <v>XNAS</v>
    <v>1105 West 41st Street, AUSTIN, TX, 78756 US</v>
    <v>29.23</v>
    <v>Software &amp; IT Services</v>
    <v>Stock</v>
    <v>44648.998911909373</v>
    <v>210</v>
    <v>27.61</v>
    <v>5867596293</v>
    <v>BUMBLE INC.</v>
    <v>BUMBLE INC.</v>
    <v>28.02</v>
    <v>15.3796</v>
    <v>28.17</v>
    <v>28.99</v>
    <v>202400700</v>
    <v>BMBL</v>
    <v>BUMBLE INC. (XNAS:BMBL)</v>
    <v>1335774</v>
    <v>5485476</v>
    <v>2020</v>
  </rv>
  <rv s="2">
    <v>211</v>
  </rv>
  <rv s="0">
    <v>https://www.bing.com/financeapi/forcetrigger?t=buv2z2&amp;q=XNYS%3aLMND&amp;form=skydnc</v>
    <v>Learn more on Bing</v>
  </rv>
  <rv s="9">
    <v>en-ID</v>
    <v>buv2z2</v>
    <v>268435456</v>
    <v>1</v>
    <v>Powered by Refinitiv</v>
    <v>20</v>
    <v>LEMONADE, INC. (XNYS:LMND)</v>
    <v>2</v>
    <v>21</v>
    <v>Finance</v>
    <v>17</v>
    <v>115.85</v>
    <v>16.690000000000001</v>
    <v>1.1399999999999999</v>
    <v>4.4066000000000001E-2</v>
    <v>USD</v>
    <v>Lemonade, Inc. is a stock property and casualty insurance company. The Company offers its products to renters and homeowners in the United States, contents and liability insurance in Germany, and the Netherlands, and renters’ insurance in France. The insurance it offers in the United States covers stolen or damaged property, and personal liability, which protects its customers if they are responsible for an accident or damage to another person or their property. It also offers landlord insurance policies to condo and co-op owners who rent out their property less than five times a year to protect their real and personal properties. The Company’s offerings are available through its iOS and Android application, as well as through its website (www.lemonade.com.). Its products cover all residents of a household who are related to the customer by marriage, blood, or adoption. It also enables consumers to chat with artificial intelligence to file claims.</v>
    <v>1119</v>
    <v>New York Stock Exchange</v>
    <v>XNYS</v>
    <v>XNYS</v>
    <v>5 CROSBY STREET, 3RD FLOOR, NEW YORK, NY, 10013 US</v>
    <v>27.1</v>
    <v>Insurance</v>
    <v>Stock</v>
    <v>44648.999680728906</v>
    <v>213</v>
    <v>24.94</v>
    <v>1666157496</v>
    <v>LEMONADE, INC.</v>
    <v>LEMONADE, INC.</v>
    <v>26</v>
    <v>0</v>
    <v>25.87</v>
    <v>27.01</v>
    <v>61686690</v>
    <v>LMND</v>
    <v>LEMONADE, INC. (XNYS:LMND)</v>
    <v>736</v>
    <v>2276529</v>
    <v>2015</v>
  </rv>
  <rv s="2">
    <v>214</v>
  </rv>
  <rv s="0">
    <v>https://www.bing.com/financeapi/forcetrigger?t=a22qp2&amp;q=XNYS%3aSE&amp;form=skydnc</v>
    <v>Learn more on Bing</v>
  </rv>
  <rv s="6">
    <v>en-ID</v>
    <v>a22qp2</v>
    <v>268435456</v>
    <v>1</v>
    <v>Powered by Refinitiv</v>
    <v>11</v>
    <v>SEA LIMITED (XNYS:SE)</v>
    <v>2</v>
    <v>12</v>
    <v>Finance</v>
    <v>9</v>
    <v>372.69990000000001</v>
    <v>85.01</v>
    <v>1.381</v>
    <v>0.86</v>
    <v>7.4060000000000003E-3</v>
    <v>USD</v>
    <v>Sea Limited is a consumer Internet company. The Company operates under three segments, namely digital entertainment, e-commerce, as well as digital payments and financial services. Its businesses include Garena, Shopee, and SeaMoney. Garena's platform offers mobile and personal computer (PC) online games and develops mobile games for the global market. It offers e-sports and provides access to other entertainment content and social features, such as live streaming of gameplay, user chat and online forums. Shopee's platform is a mobile-centric, social-focused marketplace. It provides users a shopping environment with integrated payment, logistics infrastructure and seller services. SeaMoney provides various payment services and loans to individuals and businesses. It also integrates with third party merchant partners and covers a set of consumption use cases. It operates in locations, such as Indonesia, Taiwan, Vietnam, Thailand, Singapore, Malaysia, and the Philippines, among others.</v>
    <v>33800</v>
    <v>New York Stock Exchange</v>
    <v>XNYS</v>
    <v>XNYS</v>
    <v>1 Fusionopolis Place, #17-10 Galaxis, 138522 SG</v>
    <v>117.96</v>
    <v>Software &amp; IT Services</v>
    <v>Stock</v>
    <v>44648.999811284375</v>
    <v>216</v>
    <v>109.67</v>
    <v>65244191240</v>
    <v>SEA LIMITED</v>
    <v>SEA LIMITED</v>
    <v>111.91</v>
    <v>0</v>
    <v>116.12</v>
    <v>116.98</v>
    <v>557738000</v>
    <v>SE</v>
    <v>SEA LIMITED (XNYS:SE)</v>
    <v>20521</v>
    <v>11461554</v>
    <v>2009</v>
  </rv>
  <rv s="2">
    <v>217</v>
  </rv>
  <rv s="0">
    <v>https://www.bing.com/financeapi/forcetrigger?t=c2k8hw&amp;q=XNYS%3aDIDI&amp;form=skydnc</v>
    <v>Learn more on Bing</v>
  </rv>
  <rv s="9">
    <v>en-ID</v>
    <v>c2k8hw</v>
    <v>268435456</v>
    <v>1</v>
    <v>Powered by Refinitiv</v>
    <v>20</v>
    <v>DiDi Global Inc. (XNYS:DIDI)</v>
    <v>2</v>
    <v>21</v>
    <v>Finance</v>
    <v>9</v>
    <v>18.010000000000002</v>
    <v>1.71</v>
    <v>-0.25</v>
    <v>-7.6452999999999993E-2</v>
    <v>USD</v>
    <v>DiDi Global Inc is a China-based company principally engaged in the operation of mobility technology platform. The Company is focused on shared mobility, providing consumers with a range of mobility services. The Company operates in three segments: China Mobility, International and Other Initiatives. The China Mobility segment mainly comprises of ride hailing, taxi hailing, chauffeur and hitch services. The International segment includes ride hailing and food delivery services in international markets, outside of China. The Other Initiatives mainly consist of bike and electric bike (e-bike) sharing, intra-city freight, community group buying, autonomous driving, financial services and auto solutions, such as charging, refueling, maintenance and repair.</v>
    <v>15914</v>
    <v>New York Stock Exchange</v>
    <v>XNYS</v>
    <v>XNYS</v>
    <v>No. 1 Block B, Shangdong Digital Valley, No. 8 Dongbeiwang West Rd, Haidian Dist., BEIJING, BEIJING, 100193 CN</v>
    <v>3.41</v>
    <v>Software &amp; IT Services</v>
    <v>Stock</v>
    <v>44648.99999710625</v>
    <v>219</v>
    <v>2.96</v>
    <v>15774970000</v>
    <v>DiDi Global Inc.</v>
    <v>DiDi Global Inc.</v>
    <v>3.37</v>
    <v>0</v>
    <v>3.27</v>
    <v>3.02</v>
    <v>4823242000</v>
    <v>DIDI</v>
    <v>DiDi Global Inc. (XNYS:DIDI)</v>
    <v>298455</v>
    <v>75399169</v>
    <v>2013</v>
  </rv>
  <rv s="2">
    <v>220</v>
  </rv>
  <rv s="0">
    <v>https://www.bing.com/financeapi/forcetrigger?t=a1qhqh&amp;q=XNAS%3aTCOM&amp;form=skydnc</v>
    <v>Learn more on Bing</v>
  </rv>
  <rv s="11">
    <v>en-ID</v>
    <v>a1qhqh</v>
    <v>268435456</v>
    <v>1</v>
    <v>Powered by Refinitiv</v>
    <v>24</v>
    <v>Trip.com Group Limited (XNAS:TCOM)</v>
    <v>2</v>
    <v>25</v>
    <v>Finance</v>
    <v>17</v>
    <v>42.04</v>
    <v>14.29</v>
    <v>1.0189999999999999</v>
    <v>1.01</v>
    <v>4.5008999999999993E-2</v>
    <v>USD</v>
    <v>Trip.com Group Limited, formerly Ctrip.com International, Ltd., is a travel service provider in China that provides accommodation booking, transportation ticketing, package tours and corporate travel management. The Company aggregates hotel and transportation information to help leisure and business travelers make reservations. The Company helps leisure travelers book travel packages and guided tours and helps corporate clients manage their travel needs. The Company also offers a range of travel-related services to meet the different booking and travel needs of leisure and business travelers, including visitor reviews, attraction tickets, travel-related financial services, car services, travel insurance services and passport services. The Company also offers package tours for independent leisure travelers, including tour groups, semi-tour groups and private groups, as well as package tours that require different transportation arrangements (such as cruise, buses or self-driving).</v>
    <v>33400</v>
    <v>Nasdaq Stock Market</v>
    <v>XNAS</v>
    <v>XNAS</v>
    <v>No. 99 Fu Quan Road, SHANGHAI, SHANGHAI, 200335 CN</v>
    <v>23.594999999999999</v>
    <v>Hotels &amp; Entertainment Services</v>
    <v>Stock</v>
    <v>44648.999007488281</v>
    <v>222</v>
    <v>22.62</v>
    <v>15197130000</v>
    <v>Trip.com Group Limited</v>
    <v>Trip.com Group Limited</v>
    <v>22.62</v>
    <v>25.7941</v>
    <v>22.44</v>
    <v>23.45</v>
    <v>637456400</v>
    <v>TCOM</v>
    <v>Trip.com Group Limited (XNAS:TCOM)</v>
    <v>13244</v>
    <v>9459610</v>
  </rv>
  <rv s="2">
    <v>223</v>
  </rv>
  <rv s="0">
    <v>https://www.bing.com/financeapi/forcetrigger?t=bo9w27&amp;q=XNYS%3aTME&amp;form=skydnc</v>
    <v>Learn more on Bing</v>
  </rv>
  <rv s="9">
    <v>en-ID</v>
    <v>bo9w27</v>
    <v>268435456</v>
    <v>1</v>
    <v>Powered by Refinitiv</v>
    <v>20</v>
    <v>TENCENT MUSIC ENTERTAINMENT GROUP (XNYS:TME)</v>
    <v>2</v>
    <v>21</v>
    <v>Finance</v>
    <v>9</v>
    <v>22.1</v>
    <v>2.95</v>
    <v>0.26</v>
    <v>5.2419E-2</v>
    <v>USD</v>
    <v>TENCENT MUSIC ENTERTAINMENT GROUP operates online music entertainment platform and music applications in China. The Company's platform comprises online music, online karaoke and music-centric live streaming services, supported by content offerings, technology and data. The Company's main platform includes QQ Music, Kugou Music, Kuwo Music, WeSing, Kugou Live, Kuwo Live and others.</v>
    <v>4769</v>
    <v>New York Stock Exchange</v>
    <v>XNYS</v>
    <v>XNYS</v>
    <v>Unit 3, Building D, Kexing Science Park, Kejizhongsan Avenue, Hi-Tech Park, SHENZHEN, GUANGDONG, 518057 CN</v>
    <v>5.2877000000000001</v>
    <v>Software &amp; IT Services</v>
    <v>Stock</v>
    <v>44648.998916388278</v>
    <v>225</v>
    <v>4.9800000000000004</v>
    <v>4142392000</v>
    <v>TENCENT MUSIC ENTERTAINMENT GROUP</v>
    <v>TENCENT MUSIC ENTERTAINMENT GROUP</v>
    <v>5.07</v>
    <v>18.4053</v>
    <v>4.96</v>
    <v>5.22</v>
    <v>835002300</v>
    <v>TME</v>
    <v>TENCENT MUSIC ENTERTAINMENT GROUP (XNYS:TME)</v>
    <v>47020</v>
    <v>26468647</v>
    <v>2012</v>
  </rv>
  <rv s="2">
    <v>226</v>
  </rv>
  <rv s="0">
    <v>https://www.bing.com/financeapi/forcetrigger?t=bvffur&amp;q=XNYS%3aBEKE&amp;form=skydnc</v>
    <v>Learn more on Bing</v>
  </rv>
  <rv s="17">
    <v>en-ID</v>
    <v>bvffur</v>
    <v>268435456</v>
    <v>1</v>
    <v>Powered by Refinitiv</v>
    <v>40</v>
    <v>Ke Holdings Inc (XNYS:BEKE)</v>
    <v>2</v>
    <v>41</v>
    <v>Finance</v>
    <v>9</v>
    <v>62.2</v>
    <v>7.31</v>
    <v>0.18</v>
    <v>1.4839E-2</v>
    <v>USD</v>
    <v>KE Holdings Inc is a China-based company engaged in provision of housing transactions and related services. The Company mainly operates its businesses through its online and offline platform called Beike. The Company's businesses are comprised of existing home transaction services, new home transaction services and emerging and other services, such as home renovation services and financial services. The Company owns the brand Lianjia under which it operates real estate brokerage businesses.</v>
    <v>119658</v>
    <v>New York Stock Exchange</v>
    <v>XNYS</v>
    <v>XNYS</v>
    <v>Building Fudao, No. 11 Kaituo Road, BEIJING, BEIJING, 100085 CN</v>
    <v>12.93</v>
    <v>Real Estate Operations</v>
    <v>Stock</v>
    <v>44648.998553113284</v>
    <v>228</v>
    <v>11.73</v>
    <v>10942960000</v>
    <v>Ke Holdings Inc</v>
    <v>Ke Holdings Inc</v>
    <v>12.5</v>
    <v>0</v>
    <v>12.13</v>
    <v>12.31</v>
    <v>300656800</v>
    <v>BEKE</v>
    <v>Ke Holdings Inc (XNYS:BEKE)</v>
    <v>61890</v>
    <v>27542094</v>
  </rv>
  <rv s="2">
    <v>229</v>
  </rv>
  <rv s="0">
    <v>https://www.bing.com/financeapi/forcetrigger?t=bqef52&amp;q=XNYS%3aCHWY&amp;form=skydnc</v>
    <v>Learn more on Bing</v>
  </rv>
  <rv s="9">
    <v>en-ID</v>
    <v>bqef52</v>
    <v>268435456</v>
    <v>1</v>
    <v>Powered by Refinitiv</v>
    <v>20</v>
    <v>CHEWY, INC. (XNYS:CHWY)</v>
    <v>2</v>
    <v>21</v>
    <v>Finance</v>
    <v>17</v>
    <v>97.74</v>
    <v>35.590000000000003</v>
    <v>3.04</v>
    <v>6.6433999999999993E-2</v>
    <v>USD</v>
    <v>Chewy, Inc. is a pure play e-commerce company geared toward pet products for dogs, cats, fish, birds, small pets, horses, and reptiles. The Company's brands include A Pet Hub, A&amp;E Cage Company, A Pet's Life, ABO Gear, BabelBark, B&amp;G Martin, C&amp;S, KONG, Nutro, ORIJEN, NexGard, and Frisco. The Company's product offerings include Food products such as dry food, wet food, veterinary diets, raw food; Treat products such as biscuits, cookies and crunchy treats, soft and chewy treats, dental treats, jerky treats, Bones, bully sticks and natural chews; Vitamin and supplements such as Hip &amp; Joint, Digestive Health &amp; Probiotics, Multivitamins, Anxiety &amp; Calming, Heart &amp; Liver; and Healthcare products such as Dentalcare, DNA Tests, Heartworm Prevention &amp; Dewormers, Milk Replacers and Ear Care. The Company serves its customers through its retail Website, www.chewy.com, and its mobile applications.</v>
    <v>18500</v>
    <v>New York Stock Exchange</v>
    <v>XNYS</v>
    <v>XNYS</v>
    <v>1855 Griffin Rd Ste B-42, DANIA BEACH, FL, 33004-2200 US</v>
    <v>49.41</v>
    <v>Specialty Retailers</v>
    <v>Stock</v>
    <v>44648.999942221875</v>
    <v>231</v>
    <v>46.1</v>
    <v>20386849040</v>
    <v>CHEWY, INC.</v>
    <v>CHEWY, INC.</v>
    <v>46.62</v>
    <v>2017.3620000000001</v>
    <v>45.76</v>
    <v>48.8</v>
    <v>417763300</v>
    <v>CHWY</v>
    <v>CHEWY, INC. (XNYS:CHWY)</v>
    <v>4728</v>
    <v>4015651</v>
    <v>2013</v>
  </rv>
  <rv s="2">
    <v>232</v>
  </rv>
  <rv s="0">
    <v>https://www.bing.com/financeapi/forcetrigger?t=brfjjc&amp;q=XNAS%3aPTON&amp;form=skydnc</v>
    <v>Learn more on Bing</v>
  </rv>
  <rv s="9">
    <v>en-ID</v>
    <v>brfjjc</v>
    <v>268435456</v>
    <v>1</v>
    <v>Powered by Refinitiv</v>
    <v>20</v>
    <v>PELOTON INTERACTIVE, INC. (XNAS:PTON)</v>
    <v>2</v>
    <v>21</v>
    <v>Finance</v>
    <v>9</v>
    <v>129.69999999999999</v>
    <v>20.11</v>
    <v>-0.35</v>
    <v>-1.2315E-2</v>
    <v>USD</v>
    <v>Peloton Interactive, Inc. is a provider of interactive fitness platform. The Company provides connected, technology-enabled fitness, and the streaming of immersive, instructor-led boutique classes to its customers. The Company segments include Connected Fitness Products and Subscription. The Connected Fitness Products segment include the Company’s portfolio of connected fitness products and related accessories, Precor branded fitness products, delivery and installation services, Company’s branded apparel, extended warranty agreements, and commercial service contracts. Its Subscriptions segment provide access to content in its library of live and on-demand fitness classes. The Company products include Peloton Bike, Peloton Bike+, Tread and Tread+. Its accessories include cycling shoes, dumbbells, resistance bands, reversible workout, bike mat, heart rate monitor, yoga blocks, yoga straps, cleats, pedals, bike weights, and among others.</v>
    <v>6743</v>
    <v>Nasdaq Stock Market</v>
    <v>XNAS</v>
    <v>XNAS</v>
    <v>441 Ninth Avenue, Sixth Floor, NEW YORK, NY, 10001 US</v>
    <v>29.12</v>
    <v>Leisure Products</v>
    <v>Stock</v>
    <v>44648.999677453125</v>
    <v>234</v>
    <v>26.88</v>
    <v>9308017614</v>
    <v>PELOTON INTERACTIVE, INC.</v>
    <v>PELOTON INTERACTIVE, INC.</v>
    <v>28.44</v>
    <v>170.41579999999999</v>
    <v>28.42</v>
    <v>28.07</v>
    <v>331600200</v>
    <v>PTON</v>
    <v>PELOTON INTERACTIVE, INC. (XNAS:PTON)</v>
    <v>992</v>
    <v>10970091</v>
    <v>2015</v>
  </rv>
  <rv s="2">
    <v>235</v>
  </rv>
  <rv s="0">
    <v>http://en.wikipedia.org/wiki/IQIYI</v>
    <v>Wikipedia</v>
  </rv>
  <rv s="3">
    <v>10</v>
    <v>237</v>
  </rv>
  <rv s="4">
    <v>10</v>
    <v>https://www.bing.com/th?id=AMMS_9ac94abef3b81e1ecff9bccb1c718a2d&amp;qlt=95</v>
    <v>238</v>
    <v>0</v>
    <v>https://www.bing.com/images/search?form=xlimg&amp;q=iqiyi</v>
    <v>Image of iQIYI, Inc.</v>
  </rv>
  <rv s="0">
    <v>https://www.bing.com/financeapi/forcetrigger?t=azgvdm&amp;q=XNAS%3aIQ&amp;form=skydnc</v>
    <v>Learn more on Bing</v>
  </rv>
  <rv s="18">
    <v>en-ID</v>
    <v>azgvdm</v>
    <v>268435456</v>
    <v>1</v>
    <v>Powered by Refinitiv</v>
    <v>42</v>
    <v>iQIYI, Inc. (XNAS:IQ)</v>
    <v>7</v>
    <v>43</v>
    <v>Finance</v>
    <v>9</v>
    <v>19</v>
    <v>1.86</v>
    <v>0.78480000000000005</v>
    <v>0.41</v>
    <v>9.5128000000000004E-2</v>
    <v>USD</v>
    <v>iQIYI, Inc. is a China-based company principally engaged in the provision of online entertainment services. The Company mainly provides genuine video content such as movies, television dramas, variety shows and anime through its application platform. Through the platform, the Company mainly provides The Lost Tomb, The Mystic Nine, Burning Ice, Qipa Talk, The Rap of China and other programs for its customers. The Company has built an entertainment-based social media platform, iQIYI Paopao, for fans to follow and interact with celebrities and the entertainment community.</v>
    <v>7721</v>
    <v>Nasdaq Stock Market</v>
    <v>XNAS</v>
    <v>XNAS</v>
    <v>9/F Iqiyi Innovation Building, No.2 Haidian North Street, Haidian, BEIJING, BEIJING, 100080 CN</v>
    <v>4.72</v>
    <v>239</v>
    <v>Software &amp; IT Services</v>
    <v>Stock</v>
    <v>44648.998975971874</v>
    <v>240</v>
    <v>4.38</v>
    <v>3377932000</v>
    <v>iQIYI, Inc.</v>
    <v>iQIYI, Inc.</v>
    <v>4.3899999999999997</v>
    <v>4.3099999999999996</v>
    <v>4.72</v>
    <v>111963300</v>
    <v>IQ</v>
    <v>iQIYI, Inc. (XNAS:IQ)</v>
    <v>52375</v>
    <v>29725111</v>
  </rv>
  <rv s="2">
    <v>241</v>
  </rv>
  <rv s="0">
    <v>https://www.bing.com/financeapi/forcetrigger?t=bskjxm&amp;q=XFRA%3a6FHA&amp;form=skydnc</v>
    <v>Learn more on Bing</v>
  </rv>
  <rv s="19">
    <v>en-ID</v>
    <v>bskjxm</v>
    <v>268435456</v>
    <v>1</v>
    <v>Powered by Refinitiv</v>
    <v>44</v>
    <v>FUTU HOLDINGS LIMITED (XFRA:6FHA)</v>
    <v>2</v>
    <v>45</v>
    <v>Finance</v>
    <v>16</v>
    <v>-0.2</v>
    <v>-5.8819999999999992E-3</v>
    <v>EUR</v>
    <v>Futu Holdings Limited is an investment holding company engaged in offering digitized brokerage platforms. The Company is involved in the provision of online brokerage services and margin financing services through software and websites. The Company mainly provides investing services through its digital brokerage platform under the name of Futu NiuNiu. The Company’s service offerings include trade executions and margin financings, which allow its clients to trade securities across markets, such as stocks, warrants, options and exchange traded funds (ETFs). In addition, the Company also provides financial information and online community services.</v>
    <v>2318</v>
    <v>Deutsche Boerse AG</v>
    <v>XFRA</v>
    <v>XFRA</v>
    <v>9F Unit 3 Building C Kexing Science Park, 15 Keyuan Road, Technology Park, Nanshan District, SHENZHEN, GUANGDONG, 518057 CN</v>
    <v>33.799999999999997</v>
    <v>Financial Technology (Fintech) &amp; Infrastructure</v>
    <v>Stock</v>
    <v>44649.40625</v>
    <v>243</v>
    <v>33.799999999999997</v>
    <v>5549286000</v>
    <v>FUTU HOLDINGS LIMITED</v>
    <v>FUTU HOLDINGS LIMITED</v>
    <v>33.799999999999997</v>
    <v>15.87</v>
    <v>34</v>
    <v>33.799999999999997</v>
    <v>146992100</v>
    <v>6FHA</v>
    <v>FUTU HOLDINGS LIMITED (XFRA:6FHA)</v>
    <v>439</v>
    <v>12467430</v>
    <v>2014</v>
  </rv>
  <rv s="2">
    <v>244</v>
  </rv>
  <rv s="6">
    <v>en-US</v>
    <v>a1yv52</v>
    <v>268435456</v>
    <v>1</v>
    <v>Powered by Refinitiv</v>
    <v>11</v>
    <v>NVIDIA CORPORATION (XNAS:NVDA)</v>
    <v>2</v>
    <v>12</v>
    <v>Finance</v>
    <v>9</v>
    <v>346.47</v>
    <v>127</v>
    <v>1.4259999999999999</v>
    <v>5.27</v>
    <v>1.9030999999999999E-2</v>
    <v>USD</v>
    <v>NVIDIA Corporation is a personal computer (PC) gaming market. The Company’s segments include Graphics and Compute &amp; Networking. The Graphics segment includes GeForce graphics processing units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software for building three-dimensional (3D) designs and virtual worlds. The Compute &amp; Networking segment includes Data Center platforms and systems for artificial intelligence (AI), high-performance computing (HPC), and accelerated computing; Mellanox networking and interconnect solutions; automotive AI Cockpit, autonomous driving development agreements, and autonomous vehicle solutions; cryptocurrency mining processors (CMP); Jetson for robotics, and NVIDIA AI Enterprise.</v>
    <v>22473</v>
    <v>Nasdaq Stock Market</v>
    <v>XNAS</v>
    <v>XNAS</v>
    <v>2788 San Tomas Expy, SANTA CLARA, CA, 95051-0952 US</v>
    <v>282.5</v>
    <v>Semiconductors &amp; Semiconductor Equipment</v>
    <v>Stock</v>
    <v>44648.999902916403</v>
    <v>104</v>
    <v>272.06</v>
    <v>708296900000</v>
    <v>NVIDIA CORPORATION</v>
    <v>NVIDIA CORPORATION</v>
    <v>277.55500000000001</v>
    <v>73.365499999999997</v>
    <v>276.92</v>
    <v>282.19</v>
    <v>2510000000</v>
    <v>NVDA</v>
    <v>NVIDIA CORPORATION (XNAS:NVDA)</v>
    <v>137518</v>
    <v>53787846</v>
    <v>1998</v>
  </rv>
  <rv s="2">
    <v>246</v>
  </rv>
  <rv s="0">
    <v>http://en.wikipedia.org/wiki/Pinterest</v>
    <v>Wikipedia</v>
  </rv>
  <rv s="3">
    <v>10</v>
    <v>248</v>
  </rv>
  <rv s="4">
    <v>10</v>
    <v>https://www.bing.com/th?id=AMMS_a951a3f8dd9dc8a8861228ca32631af3&amp;qlt=95</v>
    <v>249</v>
    <v>0</v>
    <v>https://www.bing.com/images/search?form=xlimg&amp;q=pinterest</v>
    <v>Image of PINTEREST, INC.</v>
  </rv>
  <rv s="0">
    <v>https://www.bing.com/financeapi/forcetrigger?t=bplhqh&amp;q=XNYS%3aPINS&amp;form=skydnc</v>
    <v>Learn more on Bing</v>
  </rv>
  <rv s="20">
    <v>en-ID</v>
    <v>bplhqh</v>
    <v>268435456</v>
    <v>1</v>
    <v>Powered by Refinitiv</v>
    <v>46</v>
    <v>PINTEREST, INC. (XNYS:PINS)</v>
    <v>7</v>
    <v>47</v>
    <v>Finance</v>
    <v>9</v>
    <v>88.83</v>
    <v>21.92</v>
    <v>0.96</v>
    <v>3.7662000000000001E-2</v>
    <v>USD</v>
    <v>Pinterest, Inc. (Pinterest) is a visual discovery engine company. On Pinterest, people discover and personalize visual content, which is called Pins. Pins are created when Pinners, creators and businesses create new content for or save existing Web content to its platform. The Company offers several types of Pins on its platform, including Standard Pins, Product Pins, Video Pins and Idea Pins. Its Standard Pins include static images that link to content from around the Web highlighting products, recipes, style and home inspiration, do it yourself (DIY), and others. Its Product Pins include items from its catalogue inventory that can be purchased and include metadata on prices and stock availability as well as links to the product page of a retailer's Website. Its Video Pins include short videos from businesses that link to content from around the Web on topics like cooking, beauty and DIY projects. The Company's Idea Pins are multi-pages of videos, images, and text.</v>
    <v>3225</v>
    <v>New York Stock Exchange</v>
    <v>XNYS</v>
    <v>XNYS</v>
    <v>505 BRANNAN STREET, SAN FRANCISCO, CA, 94107 US</v>
    <v>26.46</v>
    <v>250</v>
    <v>Software &amp; IT Services</v>
    <v>Stock</v>
    <v>44648.999698182815</v>
    <v>251</v>
    <v>25.53</v>
    <v>17407932605</v>
    <v>PINTEREST, INC.</v>
    <v>PINTEREST, INC.</v>
    <v>25.53</v>
    <v>68.284499999999994</v>
    <v>25.49</v>
    <v>26.45</v>
    <v>658144900</v>
    <v>PINS</v>
    <v>PINTEREST, INC. (XNYS:PINS)</v>
    <v>1254</v>
    <v>10433266</v>
    <v>2008</v>
  </rv>
  <rv s="2">
    <v>252</v>
  </rv>
  <rv s="0">
    <v>http://it.wikipedia.org/wiki/Xilinx</v>
    <v>Wikipedia</v>
  </rv>
  <rv s="3">
    <v>10</v>
    <v>254</v>
  </rv>
  <rv s="4">
    <v>10</v>
    <v>https://www.bing.com/th?id=AMMS_b317276bfaf652a4c32501f6b69f09f9&amp;qlt=95</v>
    <v>255</v>
    <v>0</v>
    <v>https://www.bing.com/images/search?form=xlimg&amp;q=xilinx</v>
    <v>Image of XILINX, INC.</v>
  </rv>
  <rv s="0">
    <v>https://www.bing.com/financeapi/forcetrigger?t=a2683m&amp;q=XNAS%3aXLNX&amp;form=skydnc</v>
    <v>Learn more on Bing</v>
  </rv>
  <rv s="21">
    <v>en-ID</v>
    <v>a2683m</v>
    <v>268435456</v>
    <v>1</v>
    <v>Powered by Refinitiv</v>
    <v>48</v>
    <v>XILINX, INC. (XNAS:XLNX)</v>
    <v>7</v>
    <v>49</v>
    <v>Finance</v>
    <v>37</v>
    <v>239.79</v>
    <v>111.84</v>
    <v>0.9839</v>
    <v>-21.63</v>
    <v>-9.9885000000000002E-2</v>
    <v>USD</v>
    <v>Xilinx, Inc. (Xilinx) is engaged in designing and developing programmable devices and associated technologies. The Company's programmable devices and associated technologies include integrated circuits (ICs) in the form of programmable logic devices (PLDs), including programmable System on Chips (SoCs), three-dimensional ICs (3D ICs) and Adaptive Compute Acceleration Platform (ACAP): an integrated multi-core heterogeneous compute platform; software design tools to program the PLDs; software development environments and embedded platforms; targeted reference designs; printed circuit boards; and intellectual property (IP), which consists of Xilinx and various third-party verification and IP cores. The Company provides design services, customer training, field engineering and technical support. Its PLDs include field programmable gate arrays (FPGAs), complex programmable logic devices (CPLDs) and programmable SoCs.</v>
    <v>4890</v>
    <v>Nasdaq Stock Market</v>
    <v>XNAS</v>
    <v>XNAS</v>
    <v>2100 LOGIC DR, SAN JOSE, CA, 95124-3450 US</v>
    <v>218.95</v>
    <v>256</v>
    <v>Semiconductors &amp; Semiconductor Equipment</v>
    <v>Stock</v>
    <v>44603.977548344534</v>
    <v>257</v>
    <v>192.49</v>
    <v>48414620000</v>
    <v>XILINX, INC.</v>
    <v>XILINX, INC.</v>
    <v>217.27</v>
    <v>52.527200000000001</v>
    <v>216.55</v>
    <v>194.92</v>
    <v>194.86500000000001</v>
    <v>248382000</v>
    <v>XLNX</v>
    <v>XILINX, INC. (XNAS:XLNX)</v>
    <v>0</v>
    <v>5983967</v>
    <v>1990</v>
  </rv>
  <rv s="2">
    <v>258</v>
  </rv>
  <rv s="0">
    <v>http://en.wikipedia.org/wiki/Broadcom_Inc.</v>
    <v>Wikipedia</v>
  </rv>
  <rv s="3">
    <v>10</v>
    <v>260</v>
  </rv>
  <rv s="4">
    <v>10</v>
    <v>https://www.bing.com/th?id=AMMS_223510cc1bd4d829dfc7dee799fda728&amp;qlt=95</v>
    <v>261</v>
    <v>0</v>
    <v>https://www.bing.com/images/search?form=xlimg&amp;q=avago</v>
    <v>Image of Broadcom Inc.</v>
  </rv>
  <rv s="0">
    <v>https://www.bing.com/financeapi/forcetrigger?t=a1nz8m&amp;q=XNAS%3aAVGO&amp;form=skydnc</v>
    <v>Learn more on Bing</v>
  </rv>
  <rv s="5">
    <v>en-ID</v>
    <v>a1nz8m</v>
    <v>268435456</v>
    <v>1</v>
    <v>Powered by Refinitiv</v>
    <v>5</v>
    <v>Broadcom Inc. (XNAS:AVGO)</v>
    <v>7</v>
    <v>8</v>
    <v>Finance</v>
    <v>17</v>
    <v>677.76</v>
    <v>419.14</v>
    <v>1.0273000000000001</v>
    <v>4.01</v>
    <v>6.3770000000000007E-3</v>
    <v>USD</v>
    <v>Broadcom Inc. is a technology company. The Company designs, develops and supplies a range of semiconductor and infrastructure software solutions. It operates through two segments: semiconductor solutions and infrastructure software. Its semiconductor solutions segment includes semiconductor solution product lines, as well as its Internet protocol (IP) licensing. It provides semiconductor solutions for managing the movement of data in data center, telecom, enterprise and embedded networking applications. It also provides a variety of radio frequency (RF) semiconductor devices, wireless connectivity solutions and custom touch controllers for the wireless market. Its infrastructure software segment includes its mainframe, distributed and cyber security solutions, and its fiber channel storage area networking (FC SAN) business. Its mainframe software provides DevOps, AIOps, Security and Data Management Systems solutions.</v>
    <v>20000</v>
    <v>Nasdaq Stock Market</v>
    <v>XNAS</v>
    <v>XNAS</v>
    <v>1320 Ridder Park Drive, SAN JOSE, CA, 95131 US</v>
    <v>633.29999999999995</v>
    <v>262</v>
    <v>Semiconductors &amp; Semiconductor Equipment</v>
    <v>Stock</v>
    <v>44648.999987673436</v>
    <v>263</v>
    <v>615.78</v>
    <v>258393005856</v>
    <v>Broadcom Inc.</v>
    <v>Broadcom Inc.</v>
    <v>625.88</v>
    <v>36.051200000000001</v>
    <v>628.87</v>
    <v>632.88</v>
    <v>408281200</v>
    <v>AVGO</v>
    <v>Broadcom Inc. (XNAS:AVGO)</v>
    <v>92</v>
    <v>2480826</v>
    <v>2018</v>
  </rv>
  <rv s="2">
    <v>264</v>
  </rv>
  <rv s="0">
    <v>http://fr.wikipedia.org/wiki/Applied_Materials</v>
    <v>Wikipedia</v>
  </rv>
  <rv s="3">
    <v>10</v>
    <v>266</v>
  </rv>
  <rv s="4">
    <v>10</v>
    <v>https://www.bing.com/th?id=AMMS_32d640d74f6e81a1c98824da9caf28a6&amp;qlt=95</v>
    <v>267</v>
    <v>0</v>
    <v>https://www.bing.com/images/search?form=xlimg&amp;q=applied+materials</v>
    <v>Image of APPLIED MATERIALS, INC.</v>
  </rv>
  <rv s="0">
    <v>https://www.bing.com/financeapi/forcetrigger?t=a1nda2&amp;q=XNAS%3aAMAT&amp;form=skydnc</v>
    <v>Learn more on Bing</v>
  </rv>
  <rv s="5">
    <v>en-ID</v>
    <v>a1nda2</v>
    <v>268435456</v>
    <v>1</v>
    <v>Powered by Refinitiv</v>
    <v>5</v>
    <v>APPLIED MATERIALS, INC. (XNAS:AMAT)</v>
    <v>7</v>
    <v>8</v>
    <v>Finance</v>
    <v>9</v>
    <v>167.06</v>
    <v>114.39</v>
    <v>1.4116</v>
    <v>0.6</v>
    <v>4.3779999999999999E-3</v>
    <v>USD</v>
    <v>Applied Materials, Inc. provides manufacturing equipment, services and software to the semiconductor, display, and related industries. The Company operates through three segments: Semiconductor Systems, Applied Global Services, and Display and Adjacent Markets. Its Semiconductor Systems segment primarily consists of capital equipment used to fabricate semiconductor chips. Its Applied Global Services segment provides integrated solutions to optimize equipment and fab performance and productivity, including spares, upgrades, services, certain remanufactured old equipment and factory automation software for semiconductor, display and solar products. Its Display and Adjacent Markets segment includes products for manufacturing liquid crystal and organic light-emitting diode (OLED) displays, and other display technologies for televisions, monitors, laptops, personal computers, electronic tablets, smart phones, and other consumer-oriented devices and equipment upgrades.</v>
    <v>27000</v>
    <v>Nasdaq Stock Market</v>
    <v>XNAS</v>
    <v>XNAS</v>
    <v>3050 Bowers Ave, SANTA CLARA, CA, 95054-3299 US</v>
    <v>137.75</v>
    <v>268</v>
    <v>Semiconductors &amp; Semiconductor Equipment</v>
    <v>Stock</v>
    <v>44648.9988323375</v>
    <v>269</v>
    <v>133.69999999999999</v>
    <v>121608114402</v>
    <v>APPLIED MATERIALS, INC.</v>
    <v>APPLIED MATERIALS, INC.</v>
    <v>135.09</v>
    <v>19.1478</v>
    <v>137.06</v>
    <v>137.66</v>
    <v>883394700</v>
    <v>AMAT</v>
    <v>APPLIED MATERIALS, INC. (XNAS:AMAT)</v>
    <v>426</v>
    <v>7504897</v>
    <v>1987</v>
  </rv>
  <rv s="2">
    <v>270</v>
  </rv>
  <rv s="0">
    <v>https://www.bing.com/financeapi/forcetrigger?t=a23i8m&amp;q=XNYS%3aSQ&amp;form=skydnc</v>
    <v>Learn more on Bing</v>
  </rv>
  <rv s="6">
    <v>en-ID</v>
    <v>a23i8m</v>
    <v>268435456</v>
    <v>1</v>
    <v>Powered by Refinitiv</v>
    <v>11</v>
    <v>BLOCK, INC. (XNYS:SQ)</v>
    <v>2</v>
    <v>12</v>
    <v>Finance</v>
    <v>9</v>
    <v>289.23</v>
    <v>82.72</v>
    <v>2.3022</v>
    <v>7.79</v>
    <v>5.9770999999999998E-2</v>
    <v>USD</v>
    <v>Block, Inc., formerly Square, Inc., is a technology company. The Company focuses on financial services. It builds tools to help people access the economy. Its building blocks is made up of Square, Cash App, Spiral, TIDAL, and TBD54566975. Square helps sellers run and grow their businesses with its integrated ecosystem of commerce solutions, business software, and banking services. Cash App allows anyone to send, spend, or invest their money in stocks or Bitcoin. Spiral builds and funds free, open-source projects that advance the use of Bitcoin as a tool. TIDAL is a global platform for musicians and their fans that uses content, experiences, and services to bring fans closer to the artists they love and give artists the tools to work as entrepreneurs. TBD54566975 is building an open developer platform to access Bitcoin and other blockchain technologies without having to go through an institution.</v>
    <v>8521</v>
    <v>New York Stock Exchange</v>
    <v>XNYS</v>
    <v>XNYS</v>
    <v>1455 Market Street, Suite 600, SAN FRANCISCO, CA, 94103 US</v>
    <v>138.88</v>
    <v>Professional &amp; Commercial Services</v>
    <v>Stock</v>
    <v>44648.999854745314</v>
    <v>272</v>
    <v>131.738</v>
    <v>80117610960</v>
    <v>BLOCK, INC.</v>
    <v>BLOCK, INC.</v>
    <v>132</v>
    <v>453.58120000000002</v>
    <v>130.33000000000001</v>
    <v>138.12</v>
    <v>580058000</v>
    <v>SQ</v>
    <v>BLOCK, INC. (XNYS:SQ)</v>
    <v>9094</v>
    <v>25813029</v>
    <v>2009</v>
  </rv>
  <rv s="2">
    <v>273</v>
  </rv>
  <rv s="0">
    <v>https://www.bing.com/financeapi/forcetrigger?t=a1ntlh&amp;q=XNAS%3aASML&amp;form=skydnc</v>
    <v>Learn more on Bing</v>
  </rv>
  <rv s="6">
    <v>en-ID</v>
    <v>a1ntlh</v>
    <v>268435456</v>
    <v>1</v>
    <v>Powered by Refinitiv</v>
    <v>11</v>
    <v>ASML Holding NV (XNAS:ASML)</v>
    <v>2</v>
    <v>12</v>
    <v>Finance</v>
    <v>9</v>
    <v>895.93</v>
    <v>558.77</v>
    <v>1.1547000000000001</v>
    <v>7.47</v>
    <v>1.0867999999999999E-2</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29861</v>
    <v>Nasdaq Stock Market</v>
    <v>XNAS</v>
    <v>XNAS</v>
    <v>De Run 6501, VELDHOVEN, NOORD-BRABANT, 5504 DR NL</v>
    <v>695</v>
    <v>Semiconductors &amp; Semiconductor Equipment</v>
    <v>Stock</v>
    <v>44648.998612557814</v>
    <v>275</v>
    <v>676</v>
    <v>277204700000</v>
    <v>ASML Holding NV</v>
    <v>ASML Holding NV</v>
    <v>680.11</v>
    <v>42.564900000000002</v>
    <v>687.36</v>
    <v>694.83</v>
    <v>406474500</v>
    <v>ASML</v>
    <v>ASML Holding NV (XNAS:ASML)</v>
    <v>5130</v>
    <v>1296329</v>
    <v>1994</v>
  </rv>
  <rv s="2">
    <v>276</v>
  </rv>
  <rv s="0">
    <v>https://www.bing.com/financeapi/forcetrigger?t=a1ygoc&amp;q=XNAS%3aNFLX&amp;form=skydnc</v>
    <v>Learn more on Bing</v>
  </rv>
  <rv s="6">
    <v>en-ID</v>
    <v>a1ygoc</v>
    <v>268435456</v>
    <v>1</v>
    <v>Powered by Refinitiv</v>
    <v>11</v>
    <v>NETFLIX, INC. (XNAS:NFLX)</v>
    <v>2</v>
    <v>12</v>
    <v>Finance</v>
    <v>9</v>
    <v>700.98940000000005</v>
    <v>329.82</v>
    <v>0.97170000000000001</v>
    <v>4.66</v>
    <v>1.2464999999999999E-2</v>
    <v>USD</v>
    <v>Netflix, Inc. is an entertainment services company. The Company has paid streaming memberships in over 190 countries, and it allows members to watch a variety of television (TV) series, documentaries, feature films and mobile games across a variety of genres and languages. Its members can watch as much as they want, anytime, anywhere, on any Internet-connected screen. Members can play, pause and resume watching, without commercials. Additionally, the Company offers its digital versatile disk (DVD) -by-mail service in the United States. It offers a variety of streaming membership plans, the price of which varies by country and the features of the plan. The pricing of its plans ranges from U.S. dollar equivalent of approximately $2 to $27 per month. It members can watch streaming content through a host of Internet-connected devices, including TVs, digital video players, TV set-top boxes and mobile devices. It acquires, licenses and produces content, including original programming.</v>
    <v>11300</v>
    <v>Nasdaq Stock Market</v>
    <v>XNAS</v>
    <v>XNAS</v>
    <v>100 Winchester Cir, LOS GATOS, CA, 95032-1815 US</v>
    <v>380.28</v>
    <v>Software &amp; IT Services</v>
    <v>Stock</v>
    <v>44648.999710555472</v>
    <v>278</v>
    <v>366.73</v>
    <v>168044472981</v>
    <v>NETFLIX, INC.</v>
    <v>NETFLIX, INC.</v>
    <v>375.23</v>
    <v>35.448999999999998</v>
    <v>373.85</v>
    <v>378.51</v>
    <v>443963100</v>
    <v>NFLX</v>
    <v>NETFLIX, INC. (XNAS:NFLX)</v>
    <v>3131</v>
    <v>5447750</v>
    <v>1997</v>
  </rv>
  <rv s="2">
    <v>279</v>
  </rv>
  <rv s="0">
    <v>https://www.bing.com/financeapi/forcetrigger?t=bq2ccw&amp;q=XWBO%3aZOOM&amp;form=skydnc</v>
    <v>Learn more on Bing</v>
  </rv>
  <rv s="19">
    <v>en-ID</v>
    <v>bq2ccw</v>
    <v>268435456</v>
    <v>1</v>
    <v>Powered by Refinitiv</v>
    <v>44</v>
    <v>ZOOM VIDEO COMMUNICATIONS, INC. (XWBO:ZOOM)</v>
    <v>2</v>
    <v>45</v>
    <v>Finance</v>
    <v>16</v>
    <v>1.6</v>
    <v>1.6271999999999998E-2</v>
    <v>EUR</v>
    <v>Zoom Video Communications, Inc. is a provider of video communication platform. The Company's platform connects people through video, phone, chat, and webinars, and enables experiences across disparate devices and locations. Its products include Zoom Meetings, Zoom Phone, Zoom Chat, Zoom Rooms, Zoom Hardware-as-a-Service, Zoom Conference Room Connector, Zoom Events, Zoom Webinar, Zoom Developer Platform, Zoom App Marketplace, and Zoom Contact Center. Its customer base spans a range of industry categories, including education, entertainment/media, enterprise infrastructure, finance, government, healthcare, manufacturing, nonprofit/not-for-profit and social impact, retail/consumer products, and software/Internet. The Company’s subsidiaries include Zoom Voice Communications, Inc., ZVC UK LTD, ZVC Australia PTY LTD, ZVC Netherlands B.V., ZVC Japan KK, Zoom Video Communications (Suzhou) Inc., Saasbee Inc. (Hefei) Ltd., ZVC India PVT LTD, Keybase LLC and SaasBee Software (Hangzhou) Co., Ltd.</v>
    <v>6787</v>
    <v>Wiener Boerse</v>
    <v>XWBO</v>
    <v>XWBO</v>
    <v>55 Almaden Blvd Fl 6, San Jose, CA, 95113-1608 US</v>
    <v>106.1</v>
    <v>Software &amp; IT Services</v>
    <v>Stock</v>
    <v>44638.701388888891</v>
    <v>281</v>
    <v>99.93</v>
    <v>34782130000</v>
    <v>ZOOM VIDEO COMMUNICATIONS, INC.</v>
    <v>ZOOM VIDEO COMMUNICATIONS, INC.</v>
    <v>99.93</v>
    <v>26.12</v>
    <v>98.33</v>
    <v>99.93</v>
    <v>299124000</v>
    <v>ZOOM</v>
    <v>ZOOM VIDEO COMMUNICATIONS, INC. (XWBO:ZOOM)</v>
    <v>31</v>
    <v>5371480</v>
    <v>2011</v>
  </rv>
  <rv s="2">
    <v>282</v>
  </rv>
  <rv s="0">
    <v>https://www.bing.com/financeapi/forcetrigger?t=bptw77&amp;q=XNYS%3aUBER&amp;form=skydnc</v>
    <v>Learn more on Bing</v>
  </rv>
  <rv s="9">
    <v>en-ID</v>
    <v>bptw77</v>
    <v>268435456</v>
    <v>1</v>
    <v>Powered by Refinitiv</v>
    <v>20</v>
    <v>UBER TECHNOLOGIES, INC. (XNYS:UBER)</v>
    <v>2</v>
    <v>21</v>
    <v>Finance</v>
    <v>9</v>
    <v>61.5</v>
    <v>28.277699999999999</v>
    <v>0.71</v>
    <v>2.0846E-2</v>
    <v>USD</v>
    <v>Uber Technologies, Inc. (Uber) develops and operates technology applications supporting a variety of offerings on its platform. The Company connects consumers with providers of ride services, merchants and food delivery services as well as public transportation networks. Its segments include Mobility, Delivery, and Freight. Mobility refers to products that connect consumers with Mobility drivers who provide rides in a variety of vehicles, such as cars, auto rickshaws, motorbikes, minibuses, or taxis. Mobility also includes activity related to its uber for business (U4B), financial partnerships, transit and vehicle solutions offerings. Delivery offering allows consumers to search for and discover local restaurants, order meal, and either pick-up at the restaurant or have the meal delivered and, in certain markets, also includes offerings for grocery and convenience store delivery. The Freight segment connects carriers with shippers on its platform and enables to book a shipment.</v>
    <v>29300</v>
    <v>New York Stock Exchange</v>
    <v>XNYS</v>
    <v>XNYS</v>
    <v>1515 3Rd Street, SAN FRANCISCO, CA, 94158 US</v>
    <v>34.909999999999997</v>
    <v>Software &amp; IT Services</v>
    <v>Stock</v>
    <v>44648.999892349217</v>
    <v>284</v>
    <v>33.729999999999997</v>
    <v>67956713280</v>
    <v>UBER TECHNOLOGIES, INC.</v>
    <v>UBER TECHNOLOGIES, INC.</v>
    <v>34.14</v>
    <v>0</v>
    <v>34.06</v>
    <v>34.770000000000003</v>
    <v>1954464000</v>
    <v>UBER</v>
    <v>UBER TECHNOLOGIES, INC. (XNYS:UBER)</v>
    <v>9139</v>
    <v>35298672</v>
    <v>2010</v>
  </rv>
  <rv s="2">
    <v>285</v>
  </rv>
  <rv s="0">
    <v>https://www.bing.com/financeapi/forcetrigger?t=bn91m7&amp;q=XIDX%3aBBNI&amp;form=skydnc</v>
    <v>Learn more on Bing</v>
  </rv>
  <rv s="16">
    <v>en-ID</v>
    <v>bn91m7</v>
    <v>268435456</v>
    <v>1</v>
    <v>Powered by Refinitiv</v>
    <v>38</v>
    <v>PT Bank Negara Indonesia (Persero) Tbk (XIDX:BBNI)</v>
    <v>2</v>
    <v>50</v>
    <v>Finance</v>
    <v>16</v>
    <v>8550</v>
    <v>4560</v>
    <v>2.0920000000000001</v>
    <v>-125</v>
    <v>-1.4705999999999999E-2</v>
    <v>IDR</v>
    <v>PT Bank Negara Indonesia (Persero) Tbk is an Indonesia-based company primarily engaged in banking sector. The Bank's segments include Corporate, Middle and Small, Consumer, Treasury and Financial Institution, Head Office, and Subsidiaries. Its Corporate includes loans, deposits and other transactions and balances with corporate customers including state-owned enterprise. Middle and Small includes loans, deposits and other transactions and balances with small to middle size customers. Its Consumer includes consumer loan such as housing loans, credit cards and other transactions with consumer loans. Its treasury activities including foreign exchange, money market, capital market and fixed income, also including international banking and overseas branch. Its subsidiaries include PT BNI Life Insurance, PT BNI Multifinance, PT BNI Sekuritas, and PT Bank BNI Syariah.</v>
    <v>25082</v>
    <v>Indonesia Stock Exchange</v>
    <v>XIDX</v>
    <v>XIDX</v>
    <v>Jl. Jenderal Sudirman Kav. 1, JAKARTA, DKI JAKARTA, 10220 ID</v>
    <v>8550</v>
    <v>Banking Services</v>
    <v>Stock</v>
    <v>44649.34375</v>
    <v>287</v>
    <v>8375</v>
    <v>156928400000000</v>
    <v>PT Bank Negara Indonesia (Persero) Tbk</v>
    <v>PT Bank Negara Indonesia (Persero) Tbk</v>
    <v>8500</v>
    <v>8500</v>
    <v>8375</v>
    <v>18462170000</v>
    <v>BBNI</v>
    <v>PT Bank Negara Indonesia (Persero) Tbk (XIDX:BBNI)</v>
    <v>18642400</v>
    <v>35423718.032799996</v>
    <v>1992</v>
  </rv>
  <rv s="2">
    <v>288</v>
  </rv>
  <rv s="0">
    <v>https://www.bing.com/financeapi/forcetrigger?t=bn91gh&amp;q=XIDX%3aASII&amp;form=skydnc</v>
    <v>Learn more on Bing</v>
  </rv>
  <rv s="16">
    <v>en-ID</v>
    <v>bn91gh</v>
    <v>268435456</v>
    <v>1</v>
    <v>Powered by Refinitiv</v>
    <v>38</v>
    <v>PT Astra International Tbk (XIDX:ASII)</v>
    <v>2</v>
    <v>50</v>
    <v>Finance</v>
    <v>16</v>
    <v>6775</v>
    <v>4640</v>
    <v>1.2622</v>
    <v>-150</v>
    <v>-2.2387999999999998E-2</v>
    <v>IDR</v>
    <v>PT Astra International Tbk is an Indonesia-based company with seven major business segments: Automotive; Financial Services; Heavy Equipment and Mining; Agribusiness; Infrastructure and Logistics; Information Technology (IT), and Property. Its Automotive segment includes the wholesale of cars, trucks and motorcycles; the provision of after-sales services, and the manufacture of automotive components. Its Financial Services segment comprises automotive financing and insurance businesses. Its Heavy Equipment and Mining segment covers heavy machinery distribution and mining operations. Its Agribusiness focuses on the sale of crude palm oil and palm olein. Its Infrastructure and Logistics segment includes the development and operation of toll roads and water utility systems. Its IT segment comprises document information and communication technology solutions, as well as the distribution of office equipment. Its Property segment develops residential and commercial properties.</v>
    <v>123894</v>
    <v>Indonesia Stock Exchange</v>
    <v>XIDX</v>
    <v>XIDX</v>
    <v>Menara Astra 59 floor, Jl. Jenderal Sudirman Kav 5-6, JAKARTA, DKI JAKARTA, 10220 ID</v>
    <v>6700</v>
    <v>Automobiles &amp; Auto Parts</v>
    <v>Stock</v>
    <v>44649.34375</v>
    <v>290</v>
    <v>6550</v>
    <v>271239800000000</v>
    <v>PT Astra International Tbk</v>
    <v>PT Astra International Tbk</v>
    <v>6600</v>
    <v>6700</v>
    <v>6550</v>
    <v>40483550000</v>
    <v>ASII</v>
    <v>PT Astra International Tbk (XIDX:ASII)</v>
    <v>24901500</v>
    <v>50150406.557400003</v>
    <v>1957</v>
  </rv>
  <rv s="2">
    <v>291</v>
  </rv>
  <rv s="0">
    <v>https://en.wikipedia.org/wiki/Microsoft</v>
    <v>Wikipedia</v>
  </rv>
  <rv s="3">
    <v>10</v>
    <v>293</v>
  </rv>
  <rv s="4">
    <v>10</v>
    <v>https://www.bing.com/th?id=AMMS_1435b697418eae5bfbed034f46c28dc4&amp;qlt=95</v>
    <v>294</v>
    <v>0</v>
    <v>https://www.bing.com/images/search?form=xlimg&amp;q=microsoft</v>
    <v>Image of MICROSOFT CORPORATION</v>
  </rv>
  <rv s="0">
    <v>https://www.bing.com/financeapi/forcetrigger?t=a1xzim&amp;q=XNAS%3aMSFT&amp;form=skydnc</v>
    <v>Learn more on Bing</v>
  </rv>
  <rv s="5">
    <v>en-ID</v>
    <v>a1xzim</v>
    <v>268435456</v>
    <v>1</v>
    <v>Powered by Refinitiv</v>
    <v>5</v>
    <v>MICROSOFT CORPORATION (XNAS:MSFT)</v>
    <v>7</v>
    <v>8</v>
    <v>Finance</v>
    <v>9</v>
    <v>349.67</v>
    <v>231.1</v>
    <v>0.90659999999999996</v>
    <v>7.02</v>
    <v>2.3115999999999998E-2</v>
    <v>USD</v>
    <v>Microsoft Corporation is a technology company. The Company develops and supports a range of software products, services, devices, and solutions. The Company's segments include Productivity and Business Processes, Intelligent Cloud, and More Personal Computing. The Company's products include operating systems; cross-device productivity applications; server applications; business solution applications; desktop and server management tools; software development tools; and video games. It also designs, manufactures, and sells devices, including personal computers (PCs), tablets, gaming and entertainment consoles, other intelligent devices, and related accessories. It offers an array of services, including cloud-based solutions that provide customers with software, services, platforms, and content, and it provides solution support and consulting services. It markets and distributes its products and services through original equipment manufacturers, direct, and distributors and resellers.</v>
    <v>181000</v>
    <v>Nasdaq Stock Market</v>
    <v>XNAS</v>
    <v>XNAS</v>
    <v>1 Microsoft Way, REDMOND, WA, 98052-6399 US</v>
    <v>310.8</v>
    <v>295</v>
    <v>Software &amp; IT Services</v>
    <v>Stock</v>
    <v>44648.999964409377</v>
    <v>296</v>
    <v>304.33</v>
    <v>2329276266200</v>
    <v>MICROSOFT CORPORATION</v>
    <v>MICROSOFT CORPORATION</v>
    <v>304.33</v>
    <v>33.056199999999997</v>
    <v>303.68</v>
    <v>310.7</v>
    <v>7496866000</v>
    <v>MSFT</v>
    <v>MICROSOFT CORPORATION (XNAS:MSFT)</v>
    <v>33718</v>
    <v>34030607</v>
    <v>1993</v>
  </rv>
  <rv s="2">
    <v>297</v>
  </rv>
  <rv s="22">
    <v>12</v>
    <v>P/E</v>
    <v>0</v>
  </rv>
  <rv s="0">
    <v>https://www.bing.com/financeapi/forcetrigger?t=bpwnzr&amp;q=XNYS%3aFSLY&amp;form=skydnc</v>
    <v>Learn more on Bing</v>
  </rv>
  <rv s="9">
    <v>en-ID</v>
    <v>bpwnzr</v>
    <v>268435456</v>
    <v>1</v>
    <v>Powered by Refinitiv</v>
    <v>20</v>
    <v>FASTLY, INC. (XNYS:FSLY)</v>
    <v>2</v>
    <v>21</v>
    <v>Finance</v>
    <v>17</v>
    <v>75.150000000000006</v>
    <v>13.01</v>
    <v>0.65</v>
    <v>3.8969000000000004E-2</v>
    <v>USD</v>
    <v>Fastly, Inc. (Fastly) is a real-time content delivery network (CDN) company. The Company provides services in the areas of delivery, security, streaming media, e-commerce and private CDN. With Fastly, the user can manage traffic spikes and mitigate security threats. Fastly works with Google Cloud Platform to extend the user's infrastructure and application logic for content delivery, backend workload, infrastructure costs and scalability. Fastly’s streaming media services offer global delivery of video content, whether it’s live or video on demand (VOD). The Company’s edge cloud platform, designed from the ground up to be programmable and support agile software development. Its platform consists of key components: a programmable edge and a software-defined modern network. The programmable edge provides developers with real-time visibility and control, where they can write and deploy code to push application logic to the edge.</v>
    <v>976</v>
    <v>New York Stock Exchange</v>
    <v>XNYS</v>
    <v>XNYS</v>
    <v>475 Brannan St. #300, SAN FRANCISCO, CA, 94107 US</v>
    <v>17.68</v>
    <v>Software &amp; IT Services</v>
    <v>Stock</v>
    <v>44648.999868981249</v>
    <v>300</v>
    <v>16.62</v>
    <v>2084798999</v>
    <v>FASTLY, INC.</v>
    <v>FASTLY, INC.</v>
    <v>16.75</v>
    <v>0</v>
    <v>16.68</v>
    <v>17.329999999999998</v>
    <v>120300000</v>
    <v>FSLY</v>
    <v>FASTLY, INC. (XNYS:FSLY)</v>
    <v>202</v>
    <v>7230832</v>
    <v>2011</v>
  </rv>
  <rv s="2">
    <v>301</v>
  </rv>
  <rv s="0">
    <v>http://ja.wikipedia.org/wiki/Twitter</v>
    <v>Wikipedia</v>
  </rv>
  <rv s="3">
    <v>10</v>
    <v>303</v>
  </rv>
  <rv s="4">
    <v>10</v>
    <v>https://www.bing.com/th?id=AMMS_e616448e16a88dfcb98701516863e901&amp;qlt=95</v>
    <v>304</v>
    <v>0</v>
    <v>https://www.bing.com/images/search?form=xlimg&amp;q=twitter</v>
    <v>Image of TWITTER, INC.</v>
  </rv>
  <rv s="0">
    <v>https://www.bing.com/financeapi/forcetrigger?t=a24op2&amp;q=XNYS%3aTWTR&amp;form=skydnc</v>
    <v>Learn more on Bing</v>
  </rv>
  <rv s="5">
    <v>en-ID</v>
    <v>a24op2</v>
    <v>268435456</v>
    <v>1</v>
    <v>Powered by Refinitiv</v>
    <v>5</v>
    <v>TWITTER, INC. (XNYS:TWTR)</v>
    <v>7</v>
    <v>8</v>
    <v>Finance</v>
    <v>9</v>
    <v>73.34</v>
    <v>31.3</v>
    <v>0.80059999999999998</v>
    <v>0.52</v>
    <v>1.3472E-2</v>
    <v>USD</v>
    <v>Twitter, Inc. offers products and services for users, advertisers, developers and data partners. The Company's products and services include Twitter, Promoted Ads and Twitter Amplify, Follower Ads and Twitter Takeover. Twitter is a platform for public self-expression and conversation in real time. Its Promoted Ads include objective-based features that allow advertisers to pay only for the types of engagement selected by the advertisers, such as Tweet engagements, Website clicks, mobile application installs or engagements, obtaining new followers, or video views. Follower Ads provide a way for its advertisers to build and grow an audience that is interested in their business, product or service. Its Follower Ads are pay-for-performance advertising priced through an auction. Twitter Takeover appear at the top of the list of trending topics or timeline for an entire day in a particular country or on a global basis. The Company sell its Twitter Takeover on a fixed-fee-per-day basis.</v>
    <v>7500</v>
    <v>New York Stock Exchange</v>
    <v>XNYS</v>
    <v>XNYS</v>
    <v>1355 Market St Ste 900, SAN FRANCISCO, CA, 94103-1337 US</v>
    <v>39.295000000000002</v>
    <v>305</v>
    <v>Software &amp; IT Services</v>
    <v>Stock</v>
    <v>44648.99978709453</v>
    <v>306</v>
    <v>38.299999999999997</v>
    <v>31321083743</v>
    <v>TWITTER, INC.</v>
    <v>TWITTER, INC.</v>
    <v>38.44</v>
    <v>0</v>
    <v>38.6</v>
    <v>39.119999999999997</v>
    <v>800641200</v>
    <v>TWTR</v>
    <v>TWITTER, INC. (XNYS:TWTR)</v>
    <v>2032</v>
    <v>18838255</v>
    <v>2007</v>
  </rv>
  <rv s="2">
    <v>307</v>
  </rv>
  <rv s="0">
    <v>http://en.wikipedia.org/wiki/Waste_Management_(corporation)</v>
    <v>Wikipedia</v>
  </rv>
  <rv s="3">
    <v>10</v>
    <v>309</v>
  </rv>
  <rv s="4">
    <v>10</v>
    <v>https://www.bing.com/th?id=AMMS_5e7d3642a4c7b151c5a535b3122e2f24&amp;qlt=95</v>
    <v>310</v>
    <v>0</v>
    <v>https://www.bing.com/images/search?form=xlimg&amp;q=waste+management+inc</v>
    <v>Image of WASTE MANAGEMENT, INC.</v>
  </rv>
  <rv s="0">
    <v>https://www.bing.com/financeapi/forcetrigger?t=a25xjc&amp;q=XNYS%3aWM&amp;form=skydnc</v>
    <v>Learn more on Bing</v>
  </rv>
  <rv s="5">
    <v>en-ID</v>
    <v>a25xjc</v>
    <v>268435456</v>
    <v>1</v>
    <v>Powered by Refinitiv</v>
    <v>5</v>
    <v>WASTE MANAGEMENT, INC. (XNYS:WM)</v>
    <v>7</v>
    <v>8</v>
    <v>Finance</v>
    <v>17</v>
    <v>168.03899999999999</v>
    <v>127.94</v>
    <v>0.87239999999999995</v>
    <v>1.88</v>
    <v>1.2030000000000001E-2</v>
    <v>USD</v>
    <v>Waste Management, Inc. (WM) is a holding company. It provides waste management environmental services in North America, providing services throughout the United States and Canada. Through its subsidiaries, the Company provides collection, transfer, disposal services, and recycling and resource recovery. It also develops, operates and owns landfill gas-to-energy facilities in the United States. Its customers include residential, commercial, industrial, and municipal customers throughout North America. Its Solid Waste two operating segments: East Tier and West Tier. The East Tier primarily consists of geographic areas located in the Eastern United States, the Great Lakes region and substantially all of Canada. The West Tier primarily includes geographic areas located in the Western United States, including the upper Midwest region, and British Columbia, Canada. It also offers construction and remediation services, services associated with the disposal of fly ash and in-plant services.</v>
    <v>48500</v>
    <v>New York Stock Exchange</v>
    <v>XNYS</v>
    <v>XNYS</v>
    <v>800 CAPITOL STREET, STE 3000, HOUSTON, TX, 77002 US</v>
    <v>158.16999999999999</v>
    <v>311</v>
    <v>Professional &amp; Commercial Services</v>
    <v>Stock</v>
    <v>44648.958333344533</v>
    <v>312</v>
    <v>156.30000000000001</v>
    <v>65571032472</v>
    <v>WASTE MANAGEMENT, INC.</v>
    <v>WASTE MANAGEMENT, INC.</v>
    <v>156.57</v>
    <v>36.796999999999997</v>
    <v>156.28</v>
    <v>158.16</v>
    <v>414586700</v>
    <v>WM</v>
    <v>WASTE MANAGEMENT, INC. (XNYS:WM)</v>
    <v>111</v>
    <v>2054934</v>
    <v>1995</v>
  </rv>
  <rv s="2">
    <v>313</v>
  </rv>
  <rv s="0">
    <v>https://www.bing.com/financeapi/forcetrigger?t=a1uj52&amp;q=XNYS%3aHD&amp;form=skydnc</v>
    <v>Learn more on Bing</v>
  </rv>
  <rv s="6">
    <v>en-ID</v>
    <v>a1uj52</v>
    <v>268435456</v>
    <v>1</v>
    <v>Powered by Refinitiv</v>
    <v>11</v>
    <v>THE HOME DEPOT, INC. (XNYS:HD)</v>
    <v>2</v>
    <v>12</v>
    <v>Finance</v>
    <v>9</v>
    <v>420.61</v>
    <v>298.39999999999998</v>
    <v>1.0533999999999999</v>
    <v>3.6</v>
    <v>1.1587E-2</v>
    <v>USD</v>
    <v>The Home Depot, Inc. is a home improvement retailer. The Company offers its customers an assortment of building materials, home improvement products, lawn and garden products, decor products, and facilities maintenance, repair and operations products and provide a number of services, including home improvement installation services and tool and equipment rental. It operates approximately 2,296 The Home Depot stores located throughout the United States (U.S.), including the Commonwealth of Puerto Rico and the territories of the U.S. Virgin Islands and Guam; Canada and Mexico. It serve two primary customer groups: do-it-yourself (DIY) Customers and Professional Customers (Pros). DIY Customers include home owners who purchase products and complete their own projects and installations. Pros are primarily professional renovators/remodelers, general contractors, handymen, property managers, building service contractors and specialty tradesmen, such as electricians, plumbers and painters.</v>
    <v>490600</v>
    <v>New York Stock Exchange</v>
    <v>XNYS</v>
    <v>XNYS</v>
    <v>2455 Paces Ferry Rd SE, ATLANTA, GA, 30339-6444 US</v>
    <v>314.35000000000002</v>
    <v>Specialty Retailers</v>
    <v>Stock</v>
    <v>44648.999807649998</v>
    <v>315</v>
    <v>309.23</v>
    <v>324761238000</v>
    <v>THE HOME DEPOT, INC.</v>
    <v>THE HOME DEPOT, INC.</v>
    <v>311</v>
    <v>20.253699999999998</v>
    <v>310.68</v>
    <v>314.27999999999997</v>
    <v>1033350000</v>
    <v>HD</v>
    <v>THE HOME DEPOT, INC. (XNYS:HD)</v>
    <v>480</v>
    <v>5801326</v>
    <v>1978</v>
  </rv>
  <rv s="2">
    <v>316</v>
  </rv>
  <rv s="0">
    <v>https://www.bing.com/financeapi/forcetrigger?t=a1qyvh&amp;q=XNYS%3aDG&amp;form=skydnc</v>
    <v>Learn more on Bing</v>
  </rv>
  <rv s="6">
    <v>en-ID</v>
    <v>a1qyvh</v>
    <v>268435456</v>
    <v>1</v>
    <v>Powered by Refinitiv</v>
    <v>11</v>
    <v>DOLLAR GENERAL CORPORATION (XNYS:DG)</v>
    <v>2</v>
    <v>12</v>
    <v>Finance</v>
    <v>17</v>
    <v>240.14</v>
    <v>185.15</v>
    <v>0.58899999999999997</v>
    <v>4.83</v>
    <v>2.1808999999999999E-2</v>
    <v>USD</v>
    <v>Dollar General Corporation is a discount retailer. The Company offers merchandise, including consumable items, seasonal items, home products and apparel. Its merchandise includes brands from manufacturers, as well as its own private brand selections with prices at discounts to brands. Its consumables category includes paper and cleaning products, packaged food, perishables, snacks, health and beauty, pet, and tobacco products. Its seasonal products include holiday items, toys, batteries, small electronics, greeting cards, stationery, prepaid phones and accessories, gardening supplies, hardware, automotive and home office supplies. Its home products include kitchen supplies, cookware, small appliances, light bulbs, storage containers, frames, candles, craft supplies and kitchen, bed and bath soft goods. Its apparel products include casual everyday apparel for infants, toddlers, girls, boys, women and men, as well as socks, underwear, disposable diapers, shoes and accessories.</v>
    <v>163000</v>
    <v>New York Stock Exchange</v>
    <v>XNYS</v>
    <v>XNYS</v>
    <v>100 Mission Rdg, GOODLETTSVILLE, TN, 37072-2171 US</v>
    <v>226.34</v>
    <v>Diversified Retail</v>
    <v>Stock</v>
    <v>44648.989253599219</v>
    <v>318</v>
    <v>221.5</v>
    <v>51792918920</v>
    <v>DOLLAR GENERAL CORPORATION</v>
    <v>DOLLAR GENERAL CORPORATION</v>
    <v>221.5</v>
    <v>22.261399999999998</v>
    <v>221.47</v>
    <v>226.3</v>
    <v>228868400</v>
    <v>DG</v>
    <v>DOLLAR GENERAL CORPORATION (XNYS:DG)</v>
    <v>1385761</v>
    <v>2157393</v>
    <v>1998</v>
  </rv>
  <rv s="2">
    <v>319</v>
  </rv>
  <rv s="0">
    <v>http://en.wikipedia.org/wiki/Walmart</v>
    <v>Wikipedia</v>
  </rv>
  <rv s="3">
    <v>10</v>
    <v>321</v>
  </rv>
  <rv s="4">
    <v>10</v>
    <v>https://www.bing.com/th?id=AMMS_9a692ebc16293b3470f3b0d46a4a20f3&amp;qlt=95</v>
    <v>322</v>
    <v>0</v>
    <v>https://www.bing.com/images/search?form=xlimg&amp;q=walmart</v>
    <v>Image of WALMART INC.</v>
  </rv>
  <rv s="0">
    <v>https://www.bing.com/financeapi/forcetrigger?t=a25ya2&amp;q=XNYS%3aWMT&amp;form=skydnc</v>
    <v>Learn more on Bing</v>
  </rv>
  <rv s="5">
    <v>en-ID</v>
    <v>a25ya2</v>
    <v>268435456</v>
    <v>1</v>
    <v>Powered by Refinitiv</v>
    <v>5</v>
    <v>WALMART INC. (XNYS:WMT)</v>
    <v>7</v>
    <v>8</v>
    <v>Finance</v>
    <v>9</v>
    <v>152.57</v>
    <v>132.01</v>
    <v>0.54269999999999996</v>
    <v>2.5499999999999998</v>
    <v>1.7776E-2</v>
    <v>USD</v>
    <v>Walmart Inc. offers shopping opportunities in both retail stores and through e-commerce and provides access to its other service offerings. The Company offers an assortment of merchandise and services at everyday low prices (EDLP). The Company operates through three segments: Walmart U.S., Walmart International and Sam's Club. The Walmart U.S. segment is a merchandiser of consumer products, operating under the Walmart and Walmart Neighborhood Market brands, as well as walmart.com and other e-commerce brands, and it operates in the United States. The Walmart International segment includes various formats divided into two categories: retail and wholesale. These categories consist of various formats, including supercenters, supermarkets, hypermarkets, warehouse clubs (including Sam's Clubs) and cash &amp; carry, as well as e-commerce through walmart.com.mx, walmart.ca, flipkart.com and other sites. The Sam's Club segment is a membership-only warehouse club that also operates samsclub.com.</v>
    <v>2300000</v>
    <v>New York Stock Exchange</v>
    <v>XNYS</v>
    <v>XNYS</v>
    <v>702 SW 8th St, BENTONVILLE, AR, 72716-6209 US</v>
    <v>146.06</v>
    <v>323</v>
    <v>Food &amp; Drug Retailing</v>
    <v>Stock</v>
    <v>44648.999568842184</v>
    <v>324</v>
    <v>143.30000000000001</v>
    <v>401759880000</v>
    <v>WALMART INC.</v>
    <v>WALMART INC.</v>
    <v>143.5</v>
    <v>29.939</v>
    <v>143.44999999999999</v>
    <v>146</v>
    <v>2751780000</v>
    <v>WMT</v>
    <v>WALMART INC. (XNYS:WMT)</v>
    <v>901</v>
    <v>8346368</v>
    <v>1969</v>
  </rv>
  <rv s="2">
    <v>325</v>
  </rv>
  <rv s="0">
    <v>https://www.bing.com/financeapi/forcetrigger?t=bvsyhw&amp;q=XNYS%3aU&amp;form=skydnc</v>
    <v>Learn more on Bing</v>
  </rv>
  <rv s="17">
    <v>en-ID</v>
    <v>bvsyhw</v>
    <v>268435456</v>
    <v>1</v>
    <v>Powered by Refinitiv</v>
    <v>40</v>
    <v>Unity Software Inc (XNYS:U)</v>
    <v>2</v>
    <v>41</v>
    <v>Finance</v>
    <v>9</v>
    <v>210</v>
    <v>73.12</v>
    <v>4.13</v>
    <v>4.3945999999999999E-2</v>
    <v>USD</v>
    <v>Unity Software Inc. (Unity) is a platform for creating and operating interactive, real-time three-dimensional content. The Company's platform includes Create Solutions and Operate Solutions that enables customers to create, run and monetize their content across a range of third-party content distribution platforms. It provides a set of software solutions for mobile phones, tablets, computers, consoles, and augmented &amp; virtual reality devices. Content made with Unity is real-time, allowing it to adapt to user's behaviour and feedback. Its Create Solutions are used by content creators, developers, designers, engineers, and architects to create interactive, 2D and 3D content. Its products, Unity Ads and Unity IAP (In-App Purchases), help developers to enhance the revenue potential of their content. It offers solutions for the delivery of content and provide back-end management, such as Multiplay for multiplayer hosting in games, or Vivox to enable player-to-player communications in games.</v>
    <v>5245</v>
    <v>New York Stock Exchange</v>
    <v>XNYS</v>
    <v>XNYS</v>
    <v>30 - 3Rd Street, SAN FRANCISCO, CA, 94103 US</v>
    <v>98.15</v>
    <v>Software &amp; IT Services</v>
    <v>Stock</v>
    <v>44648.999637719535</v>
    <v>327</v>
    <v>93.06</v>
    <v>28853689883</v>
    <v>Unity Software Inc</v>
    <v>Unity Software Inc</v>
    <v>95.24</v>
    <v>0</v>
    <v>93.98</v>
    <v>98.11</v>
    <v>294095300</v>
    <v>U</v>
    <v>Unity Software Inc (XNYS:U)</v>
    <v>3534</v>
    <v>3928075</v>
  </rv>
  <rv s="2">
    <v>328</v>
  </rv>
  <rv s="0">
    <v>https://www.bing.com/financeapi/forcetrigger?t=bq8drw&amp;q=XNYS%3aGOTU&amp;form=skydnc</v>
    <v>Learn more on Bing</v>
  </rv>
  <rv s="23">
    <v>en-ID</v>
    <v>bq8drw</v>
    <v>268435456</v>
    <v>1</v>
    <v>Powered by Refinitiv</v>
    <v>51</v>
    <v>GAOTU TECHEDU INC. (XNYS:GOTU)</v>
    <v>2</v>
    <v>52</v>
    <v>Finance</v>
    <v>37</v>
    <v>39.01</v>
    <v>1.2621</v>
    <v>-0.05</v>
    <v>-2.4752E-2</v>
    <v>USD</v>
    <v>Gaotu Techedu Inc, formerly GSX Techedu Inc, is a China-based holding company principally involved in the provision of technology-driven education services. Through its subsidiaries, the Company is engaged in the provision of online K-12 after-school tutoring services. It also offers foreign language, professional and interest courses. The Company conducts its businesses in Mainland China.</v>
    <v>22570</v>
    <v>New York Stock Exchange</v>
    <v>XNYS</v>
    <v>XNYS</v>
    <v>Tower C, Beyondsoft Building, 7 East Zone, 10 Xibeiwang East Road, Haidian District, Beijing, BEIJING, 100193 CN</v>
    <v>2.16</v>
    <v>Miscellaneous Educational Service Providers</v>
    <v>Stock</v>
    <v>44648.99998756875</v>
    <v>330</v>
    <v>1.94</v>
    <v>519248000</v>
    <v>GAOTU TECHEDU INC.</v>
    <v>GAOTU TECHEDU INC.</v>
    <v>2.0299999999999998</v>
    <v>0</v>
    <v>2.02</v>
    <v>1.97</v>
    <v>1.98</v>
    <v>257005000</v>
    <v>GOTU</v>
    <v>GAOTU TECHEDU INC. (XNYS:GOTU)</v>
    <v>1</v>
    <v>6318290</v>
  </rv>
  <rv s="2">
    <v>331</v>
  </rv>
  <rv s="0">
    <v>https://www.bing.com/financeapi/forcetrigger?t=bn83ec&amp;q=XNAS%3aNIU&amp;form=skydnc</v>
    <v>Learn more on Bing</v>
  </rv>
  <rv s="13">
    <v>en-ID</v>
    <v>bn83ec</v>
    <v>268435456</v>
    <v>1</v>
    <v>Powered by Refinitiv</v>
    <v>30</v>
    <v>Niu Technologies (XNAS:NIU)</v>
    <v>2</v>
    <v>31</v>
    <v>Finance</v>
    <v>17</v>
    <v>39.39</v>
    <v>7.4946999999999999</v>
    <v>0.87050000000000005</v>
    <v>0.11</v>
    <v>1.119E-2</v>
    <v>USD</v>
    <v>Niu Technologies is a provider of smart urban mobility solutions. The Company is engaged in the design, manufacture and sales of smart e-scooters. The Company’s products consist of three series, N, M and U, with multiple models or specifications for each series. Its NIU application synchronizes with the smart e-scooters and communicates with its cloud system. The Company enables users to receive real-time information relating to their smart e-scooters through its application.</v>
    <v>623</v>
    <v>Nasdaq Stock Market</v>
    <v>XNAS</v>
    <v>XNAS</v>
    <v>No.1 Bldg., No. 195 Huilongguan East Rd., Changping District, BEIJING, BEIJING, 102208 CN</v>
    <v>10.19</v>
    <v>Automobiles &amp; Auto Parts</v>
    <v>Stock</v>
    <v>44648.984410115627</v>
    <v>333</v>
    <v>9.73</v>
    <v>749924600</v>
    <v>Niu Technologies</v>
    <v>Niu Technologies</v>
    <v>10.06</v>
    <v>9.83</v>
    <v>9.94</v>
    <v>76275000</v>
    <v>NIU</v>
    <v>Niu Technologies (XNAS:NIU)</v>
    <v>51</v>
    <v>749255</v>
  </rv>
  <rv s="2">
    <v>334</v>
  </rv>
  <rv s="0">
    <v>https://www.bing.com/financeapi/forcetrigger?t=bq5pk2&amp;q=XNAS%3aDOYU&amp;form=skydnc</v>
    <v>Learn more on Bing</v>
  </rv>
  <rv s="24">
    <v>en-ID</v>
    <v>bq5pk2</v>
    <v>268435456</v>
    <v>1</v>
    <v>Powered by Refinitiv</v>
    <v>53</v>
    <v>DOUYU INTERNATIONAL HOLDINGS LIMITED (XNAS:DOYU)</v>
    <v>2</v>
    <v>54</v>
    <v>Finance</v>
    <v>37</v>
    <v>10.89</v>
    <v>1.2350000000000001</v>
    <v>0.03</v>
    <v>1.3953E-2</v>
    <v>USD</v>
    <v>DOUYU INTERNATIONAL HOLDINGS LIMITED is a China-based company principally engaged in the operation of its own live streaming platforms. The Company operates its platform on Personal Computer (PC) and mobile apps, through which users can enjoy immersive and interactive gaming and entertainment live streaming. The Company operates through two segments: Live Streaming segment as well as Advertisement and others segments. The Company mainly operates its businesses in the domestic market.</v>
    <v>1877</v>
    <v>Nasdaq Stock Market</v>
    <v>XNAS</v>
    <v>XNAS</v>
    <v>Blding F4, Optical Valley Software Park, Guanshan Avenue,Donghu Development Area, Wuhan, HUBEI, 430073 CN</v>
    <v>2.2999999999999998</v>
    <v>Software &amp; IT Services</v>
    <v>Stock</v>
    <v>44648.957687337497</v>
    <v>336</v>
    <v>2.14</v>
    <v>707213364</v>
    <v>DOUYU INTERNATIONAL HOLDINGS LIMITED</v>
    <v>DOUYU INTERNATIONAL HOLDINGS LIMITED</v>
    <v>2.2000000000000002</v>
    <v>52.992600000000003</v>
    <v>2.15</v>
    <v>2.1800000000000002</v>
    <v>2.15</v>
    <v>324409800</v>
    <v>DOYU</v>
    <v>DOUYU INTERNATIONAL HOLDINGS LIMITED (XNAS:DOYU)</v>
    <v>100</v>
    <v>3281656</v>
    <v>2018</v>
  </rv>
  <rv s="2">
    <v>337</v>
  </rv>
  <rv s="0">
    <v>https://www.bing.com/financeapi/forcetrigger?t=a1x6rw&amp;q=XNYS%3aLUV&amp;form=skydnc</v>
    <v>Learn more on Bing</v>
  </rv>
  <rv s="6">
    <v>en-ID</v>
    <v>a1x6rw</v>
    <v>268435456</v>
    <v>1</v>
    <v>Powered by Refinitiv</v>
    <v>11</v>
    <v>SOUTHWEST AIRLINES CO. (XNYS:LUV)</v>
    <v>2</v>
    <v>12</v>
    <v>Finance</v>
    <v>17</v>
    <v>64.75</v>
    <v>36.75</v>
    <v>1.0044999999999999</v>
    <v>0.04</v>
    <v>9.0130000000000006E-4</v>
    <v>USD</v>
    <v>Southwest Airlines Co. (Southwest) operates Southwest Airlines, a passenger airline that provides scheduled air transportation in the United States and near-international markets. The Company provides point-to-point service. The Company offers ancillary services, such as Southwest's EarlyBird Check-In, upgraded boarding, and transportation of pets and unaccompanied minors, in accordance with Southwest's respective policies. EarlyBird Check-In provides customers with automatic check-in and an assigned boarding position before general boarding positions become available. It offers its fare products directly to customers through its Internet Website, Southwest.com. It has approximately 728 Boeing 737 aircraft in its fleet and 121 destinations in 42 states, the District of Columbia, the Commonwealth of Puerto Rico, and ten near-international countries, such as Mexico, Jamaica, The Bahamas, Aruba, Dominican Republic, Costa Rica, Belize, Cuba, the Cayman Islands, and Turks and Caicos.</v>
    <v>55100</v>
    <v>New York Stock Exchange</v>
    <v>XNYS</v>
    <v>XNYS</v>
    <v>PO Box 36611, 2702 Love Field Dr, DALLAS, TX, 75235-1611 US</v>
    <v>44.93</v>
    <v>Passenger Transportation Services</v>
    <v>Stock</v>
    <v>44648.987842164061</v>
    <v>339</v>
    <v>43.89</v>
    <v>26311827198</v>
    <v>SOUTHWEST AIRLINES CO.</v>
    <v>SOUTHWEST AIRLINES CO.</v>
    <v>44.65</v>
    <v>27.705400000000001</v>
    <v>44.38</v>
    <v>44.42</v>
    <v>592341900</v>
    <v>LUV</v>
    <v>SOUTHWEST AIRLINES CO. (XNYS:LUV)</v>
    <v>184</v>
    <v>8895577</v>
    <v>1967</v>
  </rv>
  <rv s="2">
    <v>340</v>
  </rv>
  <rv s="0">
    <v>https://www.bing.com/financeapi/forcetrigger?t=a1moa2&amp;q=XNAS%3aAAL&amp;form=skydnc</v>
    <v>Learn more on Bing</v>
  </rv>
  <rv s="6">
    <v>en-ID</v>
    <v>a1moa2</v>
    <v>268435456</v>
    <v>1</v>
    <v>Powered by Refinitiv</v>
    <v>11</v>
    <v>AMERICAN AIRLINES GROUP INC. (XNAS:AAL)</v>
    <v>2</v>
    <v>12</v>
    <v>Finance</v>
    <v>9</v>
    <v>26.04</v>
    <v>12.440099999999999</v>
    <v>1.5819000000000001</v>
    <v>0.28999999999999998</v>
    <v>1.7049000000000002E-2</v>
    <v>USD</v>
    <v>American Airlines Group Inc. is a holding company. The Company's primary business activity is the operation of a network air carrier, providing scheduled air transportation for passengers and cargo. The Company operates through American segment, which provides air transportation for passengers and cargo. Together with its regional airline subsidiaries and third-party regional carriers operating as American Eagle, its primary business activity is the operation of network air carrier, providing scheduled air transportation for passengers and cargo through its hubs in Charlotte, Chicago, Dallas/Fort Worth, Los Angeles, Miami, New York, Philadelphia, Phoenix and Washington, District of Columbia (D.C.) and partner gateways, including in London, Madrid, Seattle/Tacoma, Sydney and Tokyo. The Company's subsidiaries include American Airlines, Inc. (American), Envoy Aviation Group Inc. (Envoy), PSA Airlines, Inc. (PSA) and Piedmont Airlines, Inc. (Piedmont).</v>
    <v>123400</v>
    <v>Nasdaq Stock Market</v>
    <v>XNAS</v>
    <v>XNAS</v>
    <v>1 Skyview Dr, FORT WORTH, TX, 76155 US</v>
    <v>17.38</v>
    <v>Passenger Transportation Services</v>
    <v>Stock</v>
    <v>44648.999417823441</v>
    <v>342</v>
    <v>16.82</v>
    <v>11230469730</v>
    <v>AMERICAN AIRLINES GROUP INC.</v>
    <v>AMERICAN AIRLINES GROUP INC.</v>
    <v>17.27</v>
    <v>3.3195999999999999</v>
    <v>17.010000000000002</v>
    <v>17.3</v>
    <v>649160100</v>
    <v>AAL</v>
    <v>AMERICAN AIRLINES GROUP INC. (XNAS:AAL)</v>
    <v>12999</v>
    <v>52332311</v>
    <v>1982</v>
  </rv>
  <rv s="2">
    <v>343</v>
  </rv>
  <rv s="0">
    <v>https://www.bing.com/financeapi/forcetrigger?t=a1qqbh&amp;q=XNYS%3aDAL&amp;form=skydnc</v>
    <v>Learn more on Bing</v>
  </rv>
  <rv s="6">
    <v>en-ID</v>
    <v>a1qqbh</v>
    <v>268435456</v>
    <v>1</v>
    <v>Powered by Refinitiv</v>
    <v>11</v>
    <v>DELTA AIR LINES, INC. (XNYS:DAL)</v>
    <v>2</v>
    <v>12</v>
    <v>Finance</v>
    <v>9</v>
    <v>51.82</v>
    <v>29.75</v>
    <v>1.1991000000000001</v>
    <v>0.43</v>
    <v>1.1343000000000001E-2</v>
    <v>USD</v>
    <v>Delta Air Lines, Inc. provides scheduled air transportation for passengers and cargo throughout the United States and across the globe. The Company's segments include Airline and Refinery. The Company has hubs and market presence in Amsterdam, London-Heathrow, Mexico City, Paris-Charles de Gaulle and Seoul-Incheon. Its airline segment is managed as a single business unit that provides scheduled air transportation for passengers and cargo throughout the United States and around the world and includes its loyalty program, as well as other ancillary airline services. Its refinery segment operates for the benefit of the airline segment by providing jet fuel to the airline segment from its own production and through jet fuel obtained through agreements with third parties. The refinery's production consists of jet fuel, as well as non-jet fuel products. It also maintains complementary portfolio businesses, such as its cargo business and its Maintenance, Repair and Overhaul (MRO) operation.</v>
    <v>83000</v>
    <v>New York Stock Exchange</v>
    <v>XNYS</v>
    <v>XNYS</v>
    <v>1030 Delta Blvd, ATLANTA, GA, 30354-1989 US</v>
    <v>38.61</v>
    <v>Passenger Transportation Services</v>
    <v>Stock</v>
    <v>44648.999675508596</v>
    <v>345</v>
    <v>37.44</v>
    <v>24534904698</v>
    <v>DELTA AIR LINES, INC.</v>
    <v>DELTA AIR LINES, INC.</v>
    <v>38.42</v>
    <v>92.555000000000007</v>
    <v>37.909999999999997</v>
    <v>38.340000000000003</v>
    <v>639929700</v>
    <v>DAL</v>
    <v>DELTA AIR LINES, INC. (XNYS:DAL)</v>
    <v>15053</v>
    <v>18851164</v>
    <v>1967</v>
  </rv>
  <rv s="2">
    <v>346</v>
  </rv>
  <rv s="0">
    <v>https://www.bing.com/financeapi/forcetrigger?t=a24qnm&amp;q=XNAS%3aUAL&amp;form=skydnc</v>
    <v>Learn more on Bing</v>
  </rv>
  <rv s="6">
    <v>en-ID</v>
    <v>a24qnm</v>
    <v>268435456</v>
    <v>1</v>
    <v>Powered by Refinitiv</v>
    <v>11</v>
    <v>UNITED AIRLINES HOLDINGS, INC. (XNAS:UAL)</v>
    <v>2</v>
    <v>12</v>
    <v>Finance</v>
    <v>9</v>
    <v>61.3399</v>
    <v>30.54</v>
    <v>1.3806</v>
    <v>0.68</v>
    <v>1.5747999999999998E-2</v>
    <v>USD</v>
    <v>United Airlines Holdings, Inc. is a holding company and its principal, wholly owned subsidiary is United Airlines, Inc. (United). It transports people and cargo throughout North America and to destinations in Asia, Europe, Africa, the Pacific, the Middle East and Latin America. The Company, through its wholly owned subsidiary, United and its regional carriers, operates across six continents, with hubs at Newark Liberty International Airport (EWR), Chicago O'Hare International Airport (ORD), Denver International Airport (DEN), George Bush Intercontinental Airport (IAH), Los Angeles International Airport (LAX), A.B. Won Pat International Airport (GUM), San Francisco International Airport (SFO) and Washington Dulles International Airport (IAD). Its hub and spoke system allows it to transport passengers between several destinations with more frequent service. United has contractual relationships with various regional carriers to provide regional aircraft service branded as United Express.</v>
    <v>84100</v>
    <v>Nasdaq Stock Market</v>
    <v>XNAS</v>
    <v>XNAS</v>
    <v>E. Anna Ha - Whqld, 233 South Wacker Drive, CHICAGO, IL, 60606 US</v>
    <v>43.91</v>
    <v>Passenger Transportation Services</v>
    <v>Stock</v>
    <v>44648.999604791403</v>
    <v>348</v>
    <v>42.585000000000001</v>
    <v>14017370000</v>
    <v>UNITED AIRLINES HOLDINGS, INC.</v>
    <v>UNITED AIRLINES HOLDINGS, INC.</v>
    <v>43.65</v>
    <v>8.7719000000000005</v>
    <v>43.18</v>
    <v>43.86</v>
    <v>324626300</v>
    <v>UAL</v>
    <v>UNITED AIRLINES HOLDINGS, INC. (XNAS:UAL)</v>
    <v>2536</v>
    <v>18839718</v>
    <v>1968</v>
  </rv>
  <rv s="2">
    <v>349</v>
  </rv>
  <rv s="0">
    <v>http://en.wikipedia.org/wiki/Boeing</v>
    <v>Wikipedia</v>
  </rv>
  <rv s="3">
    <v>10</v>
    <v>351</v>
  </rv>
  <rv s="4">
    <v>10</v>
    <v>https://www.bing.com/th?id=AMMS_8bd15fa626b3afb85c59bf7000422779&amp;qlt=95</v>
    <v>352</v>
    <v>0</v>
    <v>https://www.bing.com/images/search?form=xlimg&amp;q=boeing</v>
    <v>Image of THE BOEING COMPANY</v>
  </rv>
  <rv s="0">
    <v>https://www.bing.com/financeapi/forcetrigger?t=a1o4ec&amp;q=XNYS%3aBA&amp;form=skydnc</v>
    <v>Learn more on Bing</v>
  </rv>
  <rv s="5">
    <v>en-ID</v>
    <v>a1o4ec</v>
    <v>268435456</v>
    <v>1</v>
    <v>Powered by Refinitiv</v>
    <v>5</v>
    <v>THE BOEING COMPANY (XNYS:BA)</v>
    <v>7</v>
    <v>8</v>
    <v>Finance</v>
    <v>9</v>
    <v>260.48</v>
    <v>167.58</v>
    <v>1.4067000000000001</v>
    <v>-0.79</v>
    <v>-4.1810000000000007E-3</v>
    <v>USD</v>
    <v>The Boeing Company is an aerospace company. The Company's segments include Commercial Airplanes (BCA), Defense, Space &amp; Security (BDS), Global Services (BGS) and Boeing Capital (BCC). Its BCA segment develops, produces and markets commercial jet aircraft and provides fleet support services, principally to the commercial airline industry. Its commercial jet aircraft in production includes the 737 narrow-body model and the 747, 767, 777 and 787 wide-body models. Its BDS segment is engaged in the research, development, production and modification of manned and unmanned military aircraft and weapons systems for strike, surveillance and mobility. Its primary products include the fixed-wing military aircraft, such as F/A-18E/F Super Hornet, F-15 programs, P-8 programs, KC-46A Tanker and T-7A Red Hawk. Its BGS segment provides services to commercial and defense customers. BCC segment facilitates, arranges, structures and provides selective financing solutions for its customers.</v>
    <v>142000</v>
    <v>New York Stock Exchange</v>
    <v>XNYS</v>
    <v>XNYS</v>
    <v>100 N Riverside Plz, CHICAGO, IL, 60606-1596 US</v>
    <v>189.26</v>
    <v>353</v>
    <v>Aerospace &amp; Defense</v>
    <v>Stock</v>
    <v>44648.999918159374</v>
    <v>354</v>
    <v>184.47</v>
    <v>111086803968</v>
    <v>THE BOEING COMPANY</v>
    <v>THE BOEING COMPANY</v>
    <v>188.43</v>
    <v>0</v>
    <v>188.95</v>
    <v>188.16</v>
    <v>590384800</v>
    <v>BA</v>
    <v>THE BOEING COMPANY (XNYS:BA)</v>
    <v>8013</v>
    <v>10695569</v>
    <v>1934</v>
  </rv>
  <rv s="2">
    <v>355</v>
  </rv>
  <rv s="0">
    <v>http://it.wikipedia.org/wiki/Lockheed_Martin</v>
    <v>Wikipedia</v>
  </rv>
  <rv s="3">
    <v>10</v>
    <v>357</v>
  </rv>
  <rv s="4">
    <v>10</v>
    <v>https://www.bing.com/th?id=AMMS_bd5262d682934f83e02c4cfc584ce6d3&amp;qlt=95</v>
    <v>358</v>
    <v>0</v>
    <v>https://www.bing.com/images/search?form=xlimg&amp;q=lockheed+martin</v>
    <v>Image of LOCKHEED MARTIN CORPORATION</v>
  </rv>
  <rv s="0">
    <v>https://www.bing.com/financeapi/forcetrigger?t=a1wzw7&amp;q=XNYS%3aLMT&amp;form=skydnc</v>
    <v>Learn more on Bing</v>
  </rv>
  <rv s="5">
    <v>en-ID</v>
    <v>a1wzw7</v>
    <v>268435456</v>
    <v>1</v>
    <v>Powered by Refinitiv</v>
    <v>5</v>
    <v>LOCKHEED MARTIN CORPORATION (XNYS:LMT)</v>
    <v>7</v>
    <v>8</v>
    <v>Finance</v>
    <v>9</v>
    <v>479.99</v>
    <v>324.2278</v>
    <v>0.79810000000000003</v>
    <v>-8.68</v>
    <v>-1.9133000000000001E-2</v>
    <v>USD</v>
    <v>Lockheed Martin Corporation is a security and aerospace company. It operates through four segments. Aeronautics segment is engaged in the research, design, development, manufacture, support and upgrade of military aircraft, including combat and air mobility aircraft, unmanned air vehicles and related technologies. Missiles and Fire Control segment provides air and missile defense systems; fire control systems; manned and unmanned ground vehicles, and energy management solutions. Rotary and Mission Systems segment provides design, manufacture, service and support for various military and commercial helicopters, surface ships, sea and land-based missile defense systems, radar systems, sea and air-based mission and combat systems, command and control mission solutions, cyber solutions, and simulation and training solutions. Space segment is engaged in the research and development, design, engineering and production of satellites, space transportation systems, strike and defensive systems.</v>
    <v>114000</v>
    <v>New York Stock Exchange</v>
    <v>XNYS</v>
    <v>XNYS</v>
    <v>6801 ROCKLEDGE DR, BETHESDA, MD, 20817-1803 US</v>
    <v>450.46</v>
    <v>359</v>
    <v>Aerospace &amp; Defense</v>
    <v>Stock</v>
    <v>44648.99881240703</v>
    <v>360</v>
    <v>443.31</v>
    <v>118602343818</v>
    <v>LOCKHEED MARTIN CORPORATION</v>
    <v>LOCKHEED MARTIN CORPORATION</v>
    <v>449.32</v>
    <v>19.5426</v>
    <v>453.66</v>
    <v>444.98</v>
    <v>266534100</v>
    <v>LMT</v>
    <v>LOCKHEED MARTIN CORPORATION (XNYS:LMT)</v>
    <v>1808</v>
    <v>3352183</v>
    <v>1994</v>
  </rv>
  <rv s="2">
    <v>361</v>
  </rv>
  <rv s="0">
    <v>https://www.bing.com/financeapi/forcetrigger?t=a1pctc&amp;q=XNYS%3aCCL&amp;form=skydnc</v>
    <v>Learn more on Bing</v>
  </rv>
  <rv s="6">
    <v>en-ID</v>
    <v>a1pctc</v>
    <v>268435456</v>
    <v>1</v>
    <v>Powered by Refinitiv</v>
    <v>11</v>
    <v>Carnival Corp (XNYS:CCL)</v>
    <v>2</v>
    <v>12</v>
    <v>Finance</v>
    <v>9</v>
    <v>31.52</v>
    <v>14.94</v>
    <v>2.0621</v>
    <v>1.01</v>
    <v>5.4920999999999998E-2</v>
    <v>USD</v>
    <v>Carnival Corporation is a leisure travel company. The Company operates in North America, Australia, Europe, and Asia. Its portfolio features Carnival Cruise Line, Princess Cruises, Holland America Line, Seabourn, P&amp;O Cruises (Australia), Costa Cruises, AIDA Cruises, P&amp;O Cruises (United Kingdom) and Cunard. Its segment includes North America and Australia (NAA), Europe and Asia (EA), Cruise Support and Tour and Other. Its NAA segment includes Carnival Cruise Line, Princess Cruises, Holland America Line, P&amp;O Cruises (Australia) and Seabourn. Its EAA segment includes Costa Cruises (Costa), AIDA Cruises (AIDA), P&amp;O Cruises (United Kingdom) and Cunard. Its Cruise Support segment includes its portfolio of port destinations and other services. Its Tour and Other segment represent the hotel and transportation operations of Holland America Princess Alaska Tours. The Company's geographic areas include United States, Canada, Continental Europe, Asia, Australia, New Zealand, and United Kingdom.</v>
    <v>39000</v>
    <v>New York Stock Exchange</v>
    <v>XNYS</v>
    <v>XNYS</v>
    <v>3655 North West 87th Avenue, PO Box 1347, MIAMI, FL, 33178 US</v>
    <v>19.43</v>
    <v>Hotels &amp; Entertainment Services</v>
    <v>Stock</v>
    <v>44648.999683541406</v>
    <v>363</v>
    <v>18.515000000000001</v>
    <v>20626890000</v>
    <v>Carnival Corp</v>
    <v>Carnival Corp</v>
    <v>18.59</v>
    <v>0</v>
    <v>18.39</v>
    <v>19.399999999999999</v>
    <v>1136293000</v>
    <v>CCL</v>
    <v>Carnival Corp (XNYS:CCL)</v>
    <v>95724</v>
    <v>42026700</v>
    <v>1974</v>
  </rv>
  <rv s="2">
    <v>364</v>
  </rv>
  <rv s="0">
    <v>http://en.wikipedia.org/wiki/Norwegian_Cruise_Line</v>
    <v>Wikipedia</v>
  </rv>
  <rv s="3">
    <v>10</v>
    <v>366</v>
  </rv>
  <rv s="4">
    <v>10</v>
    <v>https://www.bing.com/th?id=AMMS_bbdfa0a8c7dacf5547cec3c25b489ead&amp;qlt=95</v>
    <v>367</v>
    <v>0</v>
    <v>https://www.bing.com/images/search?form=xlimg&amp;q=norwegian+cruise+line</v>
    <v>Image of NORWEGIAN CRUISE LINE HOLDINGS LTD.</v>
  </rv>
  <rv s="0">
    <v>https://www.bing.com/financeapi/forcetrigger?t=axxudm&amp;q=XNYS%3aNCLH&amp;form=skydnc</v>
    <v>Learn more on Bing</v>
  </rv>
  <rv s="5">
    <v>en-ID</v>
    <v>axxudm</v>
    <v>268435456</v>
    <v>1</v>
    <v>Powered by Refinitiv</v>
    <v>5</v>
    <v>NORWEGIAN CRUISE LINE HOLDINGS LTD. (XNYS:NCLH)</v>
    <v>7</v>
    <v>8</v>
    <v>Finance</v>
    <v>9</v>
    <v>33.950000000000003</v>
    <v>14.9</v>
    <v>2.5676000000000001</v>
    <v>0.68</v>
    <v>3.424E-2</v>
    <v>USD</v>
    <v>Norwegian Cruise Line Holdings Ltd. (NCLH) is a global cruise company. The Company operates the Norwegian Cruise Line, Oceania Cruises and Regent Seven Seas Cruises brands. The Company has approximately 28 ships with 59,150 Berths. The Company's brands offer itineraries to various destinations, including Europe, Asia, Australia, New Zealand, South America, Africa, Canada, Bermuda, Caribbean, Alaska and Hawaii. Its brands offer various features, amenities, and activities, including various accommodations, multiple dining venues, bars and lounges, spa, casino and retail shopping areas and various entertainment choices. The Company's Norwegian ships offers up to 28 dining options. Its Oceania Cruises offers onboard dining, along with multiple open seating dining venues Its Regent offerings include air transportation, shore excursions, pre-cruise hotel stays, specialty restaurants, spirits and fine wines, gratuities, wireless fidelity (Wi-Fi) and other amenities.</v>
    <v>34700</v>
    <v>New York Stock Exchange</v>
    <v>XNYS</v>
    <v>XNYS</v>
    <v>7665 CORPORATE DRIVE, MIAMI, FL, 33126 US</v>
    <v>20.55</v>
    <v>368</v>
    <v>Hotels &amp; Entertainment Services</v>
    <v>Stock</v>
    <v>44648.999078378904</v>
    <v>369</v>
    <v>19.940000000000001</v>
    <v>8566950548</v>
    <v>NORWEGIAN CRUISE LINE HOLDINGS LTD.</v>
    <v>NORWEGIAN CRUISE LINE HOLDINGS LTD.</v>
    <v>19.940000000000001</v>
    <v>0</v>
    <v>19.86</v>
    <v>20.54</v>
    <v>417086200</v>
    <v>NCLH</v>
    <v>NORWEGIAN CRUISE LINE HOLDINGS LTD. (XNYS:NCLH)</v>
    <v>2790</v>
    <v>25836402</v>
    <v>2011</v>
  </rv>
  <rv s="2">
    <v>370</v>
  </rv>
  <rv s="0">
    <v>https://www.bing.com/financeapi/forcetrigger?t=a1qlz2&amp;q=XNYS%3aCVX&amp;form=skydnc</v>
    <v>Learn more on Bing</v>
  </rv>
  <rv s="6">
    <v>en-ID</v>
    <v>a1qlz2</v>
    <v>268435456</v>
    <v>1</v>
    <v>Powered by Refinitiv</v>
    <v>11</v>
    <v>CHEVRON CORPORATION (XNYS:CVX)</v>
    <v>2</v>
    <v>12</v>
    <v>Finance</v>
    <v>9</v>
    <v>174.76</v>
    <v>92.86</v>
    <v>1.1424000000000001</v>
    <v>-2.96</v>
    <v>-1.7482999999999999E-2</v>
    <v>USD</v>
    <v>Chevron Corporation manages its investments in subsidiaries and affiliates, and provides administrative, financial, management and technology support to the United States and international subsidiaries that engage in integrated energy and chemicals operations. The Company operates through two business segments: Upstream and Downstream. The Upstream segment consists primarily of exploring for, developing and producing crude oil and natural gas; processing, liquefaction, transportation and regasification associated with liquefied natural gas; transporting crude oil by international oil export pipelines; transporting, storage and marketing of natural gas, and a gas-to-liquids plant. The Downstream segment consists primarily of refining of crude oil into petroleum products; marketing of crude oil, refined products and lubricants; manufacturing and marketing of renewable fuels; transporting of crude oil and refined products, and manufacturing and marketing of commodity petrochemicals.</v>
    <v>42595</v>
    <v>New York Stock Exchange</v>
    <v>XNYS</v>
    <v>XNYS</v>
    <v>6001 Bollinger Canyon Rd, SAN RAMON, CA, 94583-2324 US</v>
    <v>166.63</v>
    <v>Oil &amp; Gas</v>
    <v>Stock</v>
    <v>44648.999507082815</v>
    <v>372</v>
    <v>165.13</v>
    <v>323975441550</v>
    <v>CHEVRON CORPORATION</v>
    <v>CHEVRON CORPORATION</v>
    <v>165.9</v>
    <v>20.449300000000001</v>
    <v>169.31</v>
    <v>166.35</v>
    <v>1947553000</v>
    <v>CVX</v>
    <v>CHEVRON CORPORATION (XNYS:CVX)</v>
    <v>5540</v>
    <v>24115318</v>
    <v>1926</v>
  </rv>
  <rv s="2">
    <v>373</v>
  </rv>
  <rv s="0">
    <v>https://www.bing.com/financeapi/forcetrigger?t=a1zez2&amp;q=XNYS%3aOXY&amp;form=skydnc</v>
    <v>Learn more on Bing</v>
  </rv>
  <rv s="6">
    <v>en-ID</v>
    <v>a1zez2</v>
    <v>268435456</v>
    <v>1</v>
    <v>Powered by Refinitiv</v>
    <v>11</v>
    <v>OCCIDENTAL PETROLEUM CORPORATION (XNYS:OXY)</v>
    <v>2</v>
    <v>12</v>
    <v>Finance</v>
    <v>9</v>
    <v>63.24</v>
    <v>21.62</v>
    <v>2.0991</v>
    <v>-2.0699999999999998</v>
    <v>-3.5257999999999998E-2</v>
    <v>USD</v>
    <v>Occidental Petroleum Corporation is an energy company. The Company primarily conducts its ongoing exploration and production activities in the United States, the Middle East and North Africa. Within the United States, it has operations in Texas, New Mexico and Colorado, as well as offshore in the Gulf of Mexico. The Company operates through three reporting segments: oil and gas, chemical and midstream and marketing. The oil and gas segment explores for, develops and produces oil (which includes condensate), natural gas liquids (NGL) and natural gas. The chemical segment (OxyChem) primarily manufactures and markets basic chemicals and vinyls. The midstream and marketing segment purchases, markets, gathers, processes, transports and stores oil (which includes condensate), NGL, natural gas, carbon dioxide (CO2) and power. Its midstream and marketing segment also includes Occidental’s low carbon ventures (OLCV) businesses.</v>
    <v>11678</v>
    <v>New York Stock Exchange</v>
    <v>XNYS</v>
    <v>XNYS</v>
    <v>5 Greenway Plz Ste 110, HOUSTON, TX, 77046-0521 US</v>
    <v>57.57</v>
    <v>Oil &amp; Gas</v>
    <v>Stock</v>
    <v>44648.999983992966</v>
    <v>375</v>
    <v>55.59</v>
    <v>52905384960</v>
    <v>OCCIDENTAL PETROLEUM CORPORATION</v>
    <v>OCCIDENTAL PETROLEUM CORPORATION</v>
    <v>56.82</v>
    <v>27.5456</v>
    <v>58.71</v>
    <v>56.64</v>
    <v>934064000</v>
    <v>OXY</v>
    <v>OCCIDENTAL PETROLEUM CORPORATION (XNYS:OXY)</v>
    <v>56709</v>
    <v>51820837</v>
    <v>1986</v>
  </rv>
  <rv s="2">
    <v>376</v>
  </rv>
  <rv s="0">
    <v>https://www.bing.com/financeapi/forcetrigger?t=a269ec&amp;q=XNYS%3aXOM&amp;form=skydnc</v>
    <v>Learn more on Bing</v>
  </rv>
  <rv s="6">
    <v>en-ID</v>
    <v>a269ec</v>
    <v>268435456</v>
    <v>1</v>
    <v>Powered by Refinitiv</v>
    <v>11</v>
    <v>EXXON MOBIL CORPORATION (XNYS:XOM)</v>
    <v>2</v>
    <v>12</v>
    <v>Finance</v>
    <v>17</v>
    <v>91.504999999999995</v>
    <v>52.1</v>
    <v>1.163</v>
    <v>-2.39</v>
    <v>-2.8052000000000001E-2</v>
    <v>USD</v>
    <v>Exxon Mobil Corporation is engaged in energy business. The Company’s principal business involves exploration for, and production of, crude oil and natural gas, and the manufacture, trade, transport and sale of crude oil, natural gas, petroleum products, petrochemicals and a range of specialty products. The Company's segments include Upstream, Downstream and Chemical. The Upstream segment is organized and operates to explore for and produce crude oil and natural gas. The Downstream segment manufactures, trades and sells petroleum products. The refining and supply operations encompass a global network of manufacturing plants, transportation systems, and distribution centers that provide a range of fuels, lubricants and other products and feedstocks to its customers around the world. The Chemical segment is organized and operates to manufacture and sell petrochemicals. The Chemical business supplies olefins, polyolefins, aromatics, and a variety of other petrochemicals.</v>
    <v>63000</v>
    <v>New York Stock Exchange</v>
    <v>XNYS</v>
    <v>XNYS</v>
    <v>5959 LAS COLINAS BLVD, IRVING, TX, 75039-2298 US</v>
    <v>83.31</v>
    <v>Oil &amp; Gas</v>
    <v>Stock</v>
    <v>44648.999622060153</v>
    <v>378</v>
    <v>82.02</v>
    <v>350583753520</v>
    <v>EXXON MOBIL CORPORATION</v>
    <v>EXXON MOBIL CORPORATION</v>
    <v>83.17</v>
    <v>15.398300000000001</v>
    <v>85.2</v>
    <v>82.81</v>
    <v>4233592000</v>
    <v>XOM</v>
    <v>EXXON MOBIL CORPORATION (XNYS:XOM)</v>
    <v>7525</v>
    <v>37858616</v>
    <v>1882</v>
  </rv>
  <rv s="2">
    <v>379</v>
  </rv>
  <rv s="0">
    <v>https://www.bing.com/financeapi/forcetrigger?t=a1w8ec&amp;q=XNYS%3aJNJ&amp;form=skydnc</v>
    <v>Learn more on Bing</v>
  </rv>
  <rv s="6">
    <v>en-ID</v>
    <v>a1w8ec</v>
    <v>268435456</v>
    <v>1</v>
    <v>Powered by Refinitiv</v>
    <v>11</v>
    <v>JOHNSON &amp; JOHNSON (XNYS:JNJ)</v>
    <v>2</v>
    <v>12</v>
    <v>Finance</v>
    <v>9</v>
    <v>179.92</v>
    <v>155.72</v>
    <v>0.71860000000000002</v>
    <v>0.91</v>
    <v>5.1439999999999993E-3</v>
    <v>USD</v>
    <v>Johnson &amp; Johnson is a holding company, which is engaged in the research and development, manufacture and sale of a range of products in the healthcare field. It operates through three segments: Consumer, Pharmaceutical and Medical Devices. Its primary focus is products related to human health and well-being. The Consumer segment includes a range of products used in the skin health/beauty, over-the-counter medicines, baby care, oral care, women’s health and wound care markets. The Pharmaceutical segment is focused on six immunology, infectious diseases, neuroscience, oncology, cardiovascular and metabolism and pulmonary hypertension. The Medical Devices segment includes a range of products used in the interventional solutions, orthopedic, surgery, and vision fields.</v>
    <v>141700</v>
    <v>New York Stock Exchange</v>
    <v>XNYS</v>
    <v>XNYS</v>
    <v>One Johnson &amp; Johnson Plaza, NEW BRUNSWICK, NJ, 08933 US</v>
    <v>178.179</v>
    <v>Pharmaceuticals</v>
    <v>Stock</v>
    <v>44648.999663853909</v>
    <v>381</v>
    <v>176.35</v>
    <v>467624435450</v>
    <v>JOHNSON &amp; JOHNSON</v>
    <v>JOHNSON &amp; JOHNSON</v>
    <v>176.65</v>
    <v>22.764500000000002</v>
    <v>176.92</v>
    <v>177.83</v>
    <v>2629615000</v>
    <v>JNJ</v>
    <v>JOHNSON &amp; JOHNSON (XNYS:JNJ)</v>
    <v>582</v>
    <v>8228335</v>
    <v>1887</v>
  </rv>
  <rv s="2">
    <v>382</v>
  </rv>
  <rv s="0">
    <v>https://www.bing.com/financeapi/forcetrigger?t=a1mrar&amp;q=XNYS%3aABT&amp;form=skydnc</v>
    <v>Learn more on Bing</v>
  </rv>
  <rv s="6">
    <v>en-ID</v>
    <v>a1mrar</v>
    <v>268435456</v>
    <v>1</v>
    <v>Powered by Refinitiv</v>
    <v>11</v>
    <v>ABBOTT LABORATORIES (XNYS:ABT)</v>
    <v>2</v>
    <v>12</v>
    <v>Finance</v>
    <v>17</v>
    <v>142.6</v>
    <v>105.36</v>
    <v>0.73660000000000003</v>
    <v>1.04</v>
    <v>8.742999999999999E-3</v>
    <v>USD</v>
    <v>Abbott Laboratories is engaged in the discovery, development, manufacture, and sale of a diversified line of health care products. The Company operates through four segments: Established Pharmaceutical Products, Diagnostic Products, Nutritional Products, and Medical Devices. Its Established Pharmaceutical Products segment includes gastroenterology products, women’s health products, cardiovascular and metabolic products, pain and central nervous system products and respiratory drugs and vaccines. Its Diagnostic Products segment includes core laboratory systems in the areas of immunoassay, clinical chemistry, hematology, and transfusion medicine; molecular diagnostics polymerase chain reaction (PCR) instrument systems; point of care systems; rapid diagnostics lateral flow testing products, and informatics and automation solutions. Its Nutritional Products segment includes various forms of infant formula and follow-on formula, adult and other pediatric nutritional products and others.</v>
    <v>113000</v>
    <v>New York Stock Exchange</v>
    <v>XNYS</v>
    <v>XNYS</v>
    <v>100 Abbott Park Rd, ABBOTT PARK, IL, 60064-3500 US</v>
    <v>120</v>
    <v>Healthcare Equipment &amp; Supplies</v>
    <v>Stock</v>
    <v>44648.998037048441</v>
    <v>384</v>
    <v>118.71</v>
    <v>211600205180</v>
    <v>ABBOTT LABORATORIES</v>
    <v>ABBOTT LABORATORIES</v>
    <v>119.38</v>
    <v>30.348199999999999</v>
    <v>118.95</v>
    <v>119.99</v>
    <v>1763482000</v>
    <v>ABT</v>
    <v>ABBOTT LABORATORIES (XNYS:ABT)</v>
    <v>13</v>
    <v>5933264</v>
    <v>1900</v>
  </rv>
  <rv s="2">
    <v>385</v>
  </rv>
  <rv s="0">
    <v>http://en.wikipedia.org/wiki/Novartis</v>
    <v>Wikipedia</v>
  </rv>
  <rv s="3">
    <v>10</v>
    <v>387</v>
  </rv>
  <rv s="4">
    <v>10</v>
    <v>https://www.bing.com/th?id=AMMS_3a4201ed5d487670c98d0ce5663b2ca7&amp;qlt=95</v>
    <v>388</v>
    <v>0</v>
    <v>https://www.bing.com/images/search?form=xlimg&amp;q=novartis</v>
    <v>Image of Novartis Inc.</v>
  </rv>
  <rv s="0">
    <v>https://www.bing.com/financeapi/forcetrigger?t=a1yw77&amp;q=XNYS%3aNVS&amp;form=skydnc</v>
    <v>Learn more on Bing</v>
  </rv>
  <rv s="5">
    <v>en-ID</v>
    <v>a1yw77</v>
    <v>268435456</v>
    <v>1</v>
    <v>Powered by Refinitiv</v>
    <v>5</v>
    <v>Novartis Inc. (XNYS:NVS)</v>
    <v>7</v>
    <v>8</v>
    <v>Finance</v>
    <v>17</v>
    <v>95.17</v>
    <v>79.09</v>
    <v>0.56830000000000003</v>
    <v>0.13</v>
    <v>1.4970000000000001E-3</v>
    <v>USD</v>
    <v>Novartis AG is a Switzerland-based pharmaceutical company. The Company develops, manufactures, and markets branded and generic prescription drugs, active pharmaceutical ingredients (APIs), biosimilars and ophthalmic products. The Company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v>
    <v>104323</v>
    <v>New York Stock Exchange</v>
    <v>XNYS</v>
    <v>XNYS</v>
    <v>Lichtstrasse 35, BASEL, BASEL-STADT, 4056 CH</v>
    <v>87.05</v>
    <v>389</v>
    <v>Pharmaceuticals</v>
    <v>Stock</v>
    <v>44648.958333344533</v>
    <v>390</v>
    <v>86.54</v>
    <v>211225700000</v>
    <v>Novartis Inc.</v>
    <v>Novartis Inc.</v>
    <v>86.82</v>
    <v>8.1685999999999996</v>
    <v>86.86</v>
    <v>86.99</v>
    <v>2434421000</v>
    <v>NVS</v>
    <v>Novartis Inc. (XNYS:NVS)</v>
    <v>25</v>
    <v>2550681</v>
    <v>1996</v>
  </rv>
  <rv s="2">
    <v>391</v>
  </rv>
  <rv s="0">
    <v>https://www.bing.com/financeapi/forcetrigger?t=a1xxmw&amp;q=XNYS%3aMRK&amp;form=skydnc</v>
    <v>Learn more on Bing</v>
  </rv>
  <rv s="6">
    <v>en-ID</v>
    <v>a1xxmw</v>
    <v>268435456</v>
    <v>1</v>
    <v>Powered by Refinitiv</v>
    <v>11</v>
    <v>MERCK &amp; CO., INC. (XNYS:MRK)</v>
    <v>2</v>
    <v>12</v>
    <v>Finance</v>
    <v>17</v>
    <v>91.4</v>
    <v>69.464399999999998</v>
    <v>0.4627</v>
    <v>-0.13</v>
    <v>-1.598E-3</v>
    <v>USD</v>
    <v>Merck &amp; Co., Inc. is a global health care company. The Company offers health solutions through its prescription medicines, vaccines, biologic therapies and animal health products. It operates through two segments: Pharmaceutical and Animal Health. The Company's Pharmaceutical segment includes human health pharmaceutical and vaccine products. Its human health pharmaceutical products consist of therapeutic and preventive agents, generally sold by prescription, for the treatment of human disorders. The Company sells these human health pharmaceutical products primarily to drug wholesalers and retailers, hospitals, government agencies and managed health care providers such as health maintenance organizations. The Animal Health segment develops, manufactures and markets a range of veterinary pharmaceutical and vaccine products, as well as health management solutions and services, for the prevention, treatment and control of disease in all livestock and companion animal species.</v>
    <v>68000</v>
    <v>New York Stock Exchange</v>
    <v>XNYS</v>
    <v>XNYS</v>
    <v>2000 Galloping Hill Rd, KENILWORTH, NJ, 07033-1310 US</v>
    <v>81.665000000000006</v>
    <v>Pharmaceuticals</v>
    <v>Stock</v>
    <v>44648.999665080468</v>
    <v>393</v>
    <v>80.73</v>
    <v>205605800000</v>
    <v>MERCK &amp; CO., INC.</v>
    <v>MERCK &amp; CO., INC.</v>
    <v>81.37</v>
    <v>16.6891</v>
    <v>81.34</v>
    <v>81.209999999999994</v>
    <v>2527734000</v>
    <v>MRK</v>
    <v>MERCK &amp; CO., INC. (XNYS:MRK)</v>
    <v>103</v>
    <v>11045657</v>
    <v>1970</v>
  </rv>
  <rv s="2">
    <v>394</v>
  </rv>
  <rv s="0">
    <v>https://www.bing.com/financeapi/forcetrigger?t=bo5fpr&amp;q=XNAS%3aMRNA&amp;form=skydnc</v>
    <v>Learn more on Bing</v>
  </rv>
  <rv s="9">
    <v>en-ID</v>
    <v>bo5fpr</v>
    <v>268435456</v>
    <v>1</v>
    <v>Powered by Refinitiv</v>
    <v>20</v>
    <v>MODERNA, INC. (XNAS:MRNA)</v>
    <v>2</v>
    <v>21</v>
    <v>Finance</v>
    <v>9</v>
    <v>497.49</v>
    <v>117.3411</v>
    <v>7.16</v>
    <v>4.3152999999999997E-2</v>
    <v>USD</v>
    <v>Moderna, Inc. is a biotechnology company that is focused on creating a transformative medicines based on messenger ribonucleic acid (mRNA), to improve the lives of patients. The Company’s mRNA medicines are designed to direct the body’s cells to produce intracellular, membrane, or secreted proteins that have a therapeutic or preventive benefit with the potential to address a range of spectrum of diseases. It is developing vaccines and therapeutics for infectious diseases, immuno-oncology, rare diseases, autoimmune and cardiovascular diseases, independently and with its strategic collaborators. The Company develops technologies that enable the development of mRNA medicines for diverse applications. It has created modalities, including prophylactic vaccines, systemic secreted and cell surface therapeutics, cancer vaccines, intratumoral immuno-oncology, localized regenerative therapeutics, and systemic intracellular therapeutics.</v>
    <v>2700</v>
    <v>Nasdaq Stock Market</v>
    <v>XNAS</v>
    <v>XNAS</v>
    <v>200 Technology Sq, Cambridge, MA, 02139-3578 US</v>
    <v>174.45</v>
    <v>Biotechnology &amp; Medical Research</v>
    <v>Stock</v>
    <v>44648.999878089846</v>
    <v>396</v>
    <v>165.8</v>
    <v>69754736216</v>
    <v>MODERNA, INC.</v>
    <v>MODERNA, INC.</v>
    <v>167.37</v>
    <v>6.1237000000000004</v>
    <v>165.92</v>
    <v>173.08</v>
    <v>403020200</v>
    <v>MRNA</v>
    <v>MODERNA, INC. (XNAS:MRNA)</v>
    <v>8291</v>
    <v>8493870</v>
    <v>2016</v>
  </rv>
  <rv s="2">
    <v>397</v>
  </rv>
  <rv s="0">
    <v>http://de.wikipedia.org/wiki/Vertex_Pharmaceuticals</v>
    <v>Wikipedia</v>
  </rv>
  <rv s="3">
    <v>10</v>
    <v>399</v>
  </rv>
  <rv s="4">
    <v>10</v>
    <v>https://www.bing.com/th?id=AMMS_023cceec355873939bb924c68221ce68&amp;qlt=95</v>
    <v>400</v>
    <v>0</v>
    <v>https://www.bing.com/images/search?form=xlimg&amp;q=vertex+pharmaceuticals</v>
    <v>Image of VERTEX PHARMACEUTICALS INCORPORATED</v>
  </rv>
  <rv s="0">
    <v>https://www.bing.com/financeapi/forcetrigger?t=a25k5r&amp;q=XNAS%3aVRTX&amp;form=skydnc</v>
    <v>Learn more on Bing</v>
  </rv>
  <rv s="5">
    <v>en-ID</v>
    <v>a25k5r</v>
    <v>268435456</v>
    <v>1</v>
    <v>Powered by Refinitiv</v>
    <v>5</v>
    <v>VERTEX PHARMACEUTICALS INCORPORATED (XNAS:VRTX)</v>
    <v>7</v>
    <v>8</v>
    <v>Finance</v>
    <v>17</v>
    <v>258.25</v>
    <v>176.36</v>
    <v>0.60629999999999995</v>
    <v>1.77</v>
    <v>6.9699999999999996E-3</v>
    <v>USD</v>
    <v>Vertex Pharmaceuticals Incorporated is a global biotechnology company. The Company is focused on developing medicines that treat the underlying cause of cystic fibrosis (CF) and it has several ongoing clinical and research programs to advance and extend treatment of CF. The Company's marketed medicines are TRIKAFTA/KAFTRIO (elexacaftor/tezacaftor/ivacaftor and ivacaftor), SYMDEKO/SYMKEVI (tezacaftor/ivacaftor and ivacaftor), ORKAMBI (lumacaftor/ivacaftor) and KALYDECO (ivacaftor). It has a pipeline of investigational therapies in other serious diseases where it is leveraging insight into causal human biology, including sickle cell disease, beta thalassemia, APOL1-mediated kidney disease, type 1 diabetes, pain, alpha-1 antitrypsin deficiency, and muscular dystrophies. It offers medicines for people with serious diseases with a focus on specialty markets. The Company's four medicines are being used to treat most of the people with CF in North America, Europe and Australia.</v>
    <v>3900</v>
    <v>Nasdaq Stock Market</v>
    <v>XNAS</v>
    <v>XNAS</v>
    <v>50 Northern Ave, BOSTON, MA, 02210-1862 US</v>
    <v>258.25</v>
    <v>401</v>
    <v>Biotechnology &amp; Medical Research</v>
    <v>Stock</v>
    <v>44648.999549455468</v>
    <v>402</v>
    <v>252.8</v>
    <v>65100353724</v>
    <v>VERTEX PHARMACEUTICALS INCORPORATED</v>
    <v>VERTEX PHARMACEUTICALS INCORPORATED</v>
    <v>253.83</v>
    <v>28.327300000000001</v>
    <v>253.95</v>
    <v>255.72</v>
    <v>254576700</v>
    <v>VRTX</v>
    <v>VERTEX PHARMACEUTICALS INCORPORATED (XNAS:VRTX)</v>
    <v>1686876</v>
    <v>1448429</v>
    <v>1989</v>
  </rv>
  <rv s="2">
    <v>403</v>
  </rv>
  <rv s="0">
    <v>https://creativecommons.org/licenses/by-sa/4.0</v>
    <v>CC BY-SA 4.0</v>
  </rv>
  <rv s="0">
    <v>http://sv.wikipedia.org/wiki/Astra_Zeneca</v>
    <v>Wikipedia</v>
  </rv>
  <rv s="3">
    <v>405</v>
    <v>406</v>
  </rv>
  <rv s="4">
    <v>10</v>
    <v>https://www.bing.com/th?id=AMMS_b2cce4675a6d7507fb76f31542e0dd93&amp;qlt=95</v>
    <v>407</v>
    <v>0</v>
    <v>https://www.bing.com/images/search?form=xlimg&amp;q=astrazeneca</v>
    <v>Image of ASTRAZENECA PLC</v>
  </rv>
  <rv s="0">
    <v>https://www.bing.com/financeapi/forcetrigger?t=a1o3qh&amp;q=XNAS%3aAZN&amp;form=skydnc</v>
    <v>Learn more on Bing</v>
  </rv>
  <rv s="5">
    <v>en-ID</v>
    <v>a1o3qh</v>
    <v>268435456</v>
    <v>1</v>
    <v>Powered by Refinitiv</v>
    <v>5</v>
    <v>ASTRAZENECA PLC (XNAS:AZN)</v>
    <v>7</v>
    <v>8</v>
    <v>Finance</v>
    <v>17</v>
    <v>66.06</v>
    <v>48.26</v>
    <v>0.49619999999999997</v>
    <v>0.25</v>
    <v>3.8379999999999998E-3</v>
    <v>USD</v>
    <v>AstraZeneca PLC (AstraZeneca) is a patient-focused biopharmaceutical company. The Company focuses on discovery and development, manufacturing and commercialization of prescription medicines, primarily for the treatment of diseases. The Company is focused on three main therapy areas: Oncology; Cardiovascular, Renal &amp; Metabolism, and Respiratory &amp; Immunology. Its pipeline forms a robust portfolio of investigational therapies in varied stages of clinical development. The Company has access to technologies, both internally and through its various collaborations. Its technologies include acoustic tube technology, advanced molecular imaging, cryo-electron microscopy (cryo-EM), functional genomics, multi-omics and AstraZeneca iLab. The Company’s acoustic tube technology helps it to handle and process millions of compounds for biological screening. Its AstraZeneca iLab is its prototype of an automated medicinal chemistry laboratory.</v>
    <v>83100</v>
    <v>Nasdaq Stock Market</v>
    <v>XNAS</v>
    <v>XNAS</v>
    <v>1 Francis Crick Avenue, CAMBRIDGE, CAMBRIDGESHIRE, CB2 0AA GB</v>
    <v>65.59</v>
    <v>408</v>
    <v>Pharmaceuticals</v>
    <v>Stock</v>
    <v>44648.912544536717</v>
    <v>409</v>
    <v>64.715000000000003</v>
    <v>201056200000</v>
    <v>ASTRAZENECA PLC</v>
    <v>ASTRAZENECA PLC</v>
    <v>65.13</v>
    <v>479.642</v>
    <v>65.13</v>
    <v>65.38</v>
    <v>3098876000</v>
    <v>AZN</v>
    <v>ASTRAZENECA PLC (XNAS:AZN)</v>
    <v>5836</v>
    <v>9154618</v>
    <v>1992</v>
  </rv>
  <rv s="2">
    <v>410</v>
  </rv>
  <rv s="0">
    <v>https://www.bing.com/financeapi/forcetrigger?t=a243pr&amp;q=XNAS%3aTECH&amp;form=skydnc</v>
    <v>Learn more on Bing</v>
  </rv>
  <rv s="6">
    <v>en-ID</v>
    <v>a243pr</v>
    <v>268435456</v>
    <v>1</v>
    <v>Powered by Refinitiv</v>
    <v>11</v>
    <v>BIO-TECHNE CORPORATION (XNAS:TECH)</v>
    <v>2</v>
    <v>12</v>
    <v>Finance</v>
    <v>9</v>
    <v>543.85</v>
    <v>347.88</v>
    <v>1.2129000000000001</v>
    <v>1.87</v>
    <v>4.2940000000000001E-3</v>
    <v>USD</v>
    <v>Bio-Techne Corporation is a developer, manufacturer, and seller of life science reagents, instruments and services for the research, diagnostics, and bioprocessing markets. The Company operates through two segments: Protein Sciences and Diagnostics and Genomics. The Protein Sciences segment is a developer and manufacturer of biological reagents used in all aspects of life science research, diagnostics and cell and gene therapy. This segment also includes proteomic analytical tools, both manual and automated, that offer researchers and pharmaceutical manufacturers efficient options for automated western blot and multiplexed ELISA workflow. The Diagnostics and Genomics segment develops and manufactures diagnostic products, including controls, calibrators, and diagnostic assays for the regulated diagnostics market, exosome-based molecular diagnostic assays, advanced tissue-based in-situ hybridization assays for spatial genomic and tissue biopsy analysis, and genetic and oncology kits.</v>
    <v>2600</v>
    <v>Nasdaq Stock Market</v>
    <v>XNAS</v>
    <v>XNAS</v>
    <v>614 McKinley Pl NE, MINNEAPOLIS, MN, 55413-2610 US</v>
    <v>442.12990000000002</v>
    <v>Biotechnology &amp; Medical Research</v>
    <v>Stock</v>
    <v>44648.860542001559</v>
    <v>412</v>
    <v>429.57</v>
    <v>17181537490</v>
    <v>BIO-TECHNE CORPORATION</v>
    <v>BIO-TECHNE CORPORATION</v>
    <v>436.78</v>
    <v>85.335899999999995</v>
    <v>435.45</v>
    <v>437.32</v>
    <v>39288250</v>
    <v>TECH</v>
    <v>BIO-TECHNE CORPORATION (XNAS:TECH)</v>
    <v>113303</v>
    <v>209000</v>
    <v>1981</v>
  </rv>
  <rv s="2">
    <v>413</v>
  </rv>
  <rv s="0">
    <v>https://www.bing.com/financeapi/forcetrigger?t=bn9o8m&amp;q=XIDX%3aTLKM&amp;form=skydnc</v>
    <v>Learn more on Bing</v>
  </rv>
  <rv s="16">
    <v>en-ID</v>
    <v>bn9o8m</v>
    <v>268435456</v>
    <v>1</v>
    <v>Powered by Refinitiv</v>
    <v>38</v>
    <v>PT Telkom Indonesia (Persero) Tbk (XIDX:TLKM)</v>
    <v>2</v>
    <v>50</v>
    <v>Finance</v>
    <v>16</v>
    <v>4700</v>
    <v>3000</v>
    <v>0.75009999999999999</v>
    <v>-40</v>
    <v>-8.6960000000000006E-3</v>
    <v>IDR</v>
    <v>PT Telkom Indonesia (Persero) Tbk, formerly Telekomunikasi Indonesia (Persero) Tbk PT, is a telecommunication company. The Company operates through five segments: mobile segment, consumer segment, enterprise segment, wholesale and international business segment and other segment. The mobile segment comprises of mobile broadband services and mobile digital services. The consumer segment comprises fixed voice services, fixed broadband services and related consumer digital services. Enterprise segment mainly comprises information and communications technology (ICT) and digital platform that covers enterprise-grade connectivity services. The wholesale and international business segment comprises wholesale telecommunication carrier services, international business, tower business and infrastructure and network management services. The other segment comprises digital services and property management.</v>
    <v>20817</v>
    <v>Indonesia Stock Exchange</v>
    <v>XIDX</v>
    <v>XIDX</v>
    <v>Graha Merah Putih, Jl. Japati No. 1 ID</v>
    <v>4620</v>
    <v>Telecommunications Services</v>
    <v>Stock</v>
    <v>44649.34375</v>
    <v>415</v>
    <v>4560</v>
    <v>455686200000000</v>
    <v>PT Telkom Indonesia (Persero) Tbk</v>
    <v>PT Telkom Indonesia (Persero) Tbk</v>
    <v>4600</v>
    <v>4600</v>
    <v>4560</v>
    <v>99062220000</v>
    <v>TLKM</v>
    <v>PT Telkom Indonesia (Persero) Tbk (XIDX:TLKM)</v>
    <v>77920800</v>
    <v>109202019.67209999</v>
    <v>1991</v>
  </rv>
  <rv s="2">
    <v>416</v>
  </rv>
  <rv s="0">
    <v>https://www.bing.com/financeapi/forcetrigger?t=bn91p2&amp;q=XIDX%3aBBRI&amp;form=skydnc</v>
    <v>Learn more on Bing</v>
  </rv>
  <rv s="16">
    <v>en-ID</v>
    <v>bn91p2</v>
    <v>268435456</v>
    <v>1</v>
    <v>Powered by Refinitiv</v>
    <v>38</v>
    <v>PT Bank Rakyat Indonesia (Persero) Tbk (XIDX:BBRI)</v>
    <v>2</v>
    <v>50</v>
    <v>Finance</v>
    <v>16</v>
    <v>4860</v>
    <v>3500</v>
    <v>1.4704999999999999</v>
    <v>-40</v>
    <v>-8.4569999999999992E-3</v>
    <v>IDR</v>
    <v>PT Bank Rakyat Indonesia (Persero) Tbk (the Bank) is an Indonesia-based banking company. The Bank products include savings product, loans product and banking services. Its savings products inlcude BRI Britama Savings, which provides e-banking facility to customers at any place and any time, as well as free personal accident insurance coverage. It also has sub products including BritAma Umum, BritAma Bisnis, BritAma Rencana, BritAma Muda, BritAma Mitra, BritAma TKI, BritAma Foreign Currency. Its loan products include micro loans, program loans, BRI cash collateral loans, commercial retail loans, ceria loans, medium loans, and consumer loans. Its banking services includes cash management services, e-banking, international business services, brifast remittance, treasury services, and investment services. Its BRI Wealth Management services provide mutual funds products, retail government bonds, retail sukuk, retail savings bonds, sukuk savings, and bancassurance products.</v>
    <v>79398</v>
    <v>Indonesia Stock Exchange</v>
    <v>XIDX</v>
    <v>XIDX</v>
    <v>Gedung BRI I, Jl. Jenderal Sudirman Kav. 44-46, JAKARTA PUSAT, DKI JAKARTA, 10210 ID</v>
    <v>4750</v>
    <v>Banking Services</v>
    <v>Stock</v>
    <v>44649.34375</v>
    <v>418</v>
    <v>4670</v>
    <v>709705300000000</v>
    <v>PT Bank Rakyat Indonesia (Persero) Tbk</v>
    <v>PT Bank Rakyat Indonesia (Persero) Tbk</v>
    <v>4750</v>
    <v>4730</v>
    <v>4690</v>
    <v>150043400000</v>
    <v>BBRI</v>
    <v>PT Bank Rakyat Indonesia (Persero) Tbk (XIDX:BBRI)</v>
    <v>93155100</v>
    <v>160335842.623</v>
    <v>1992</v>
  </rv>
  <rv s="2">
    <v>419</v>
  </rv>
  <rv s="0">
    <v>https://www.bing.com/financeapi/forcetrigger?t=bn9d7w&amp;q=XIDX%3aPNLF&amp;form=skydnc</v>
    <v>Learn more on Bing</v>
  </rv>
  <rv s="16">
    <v>en-ID</v>
    <v>bn9d7w</v>
    <v>268435456</v>
    <v>1</v>
    <v>Powered by Refinitiv</v>
    <v>38</v>
    <v>PT Panin Financial Tbk (XIDX:PNLF)</v>
    <v>2</v>
    <v>50</v>
    <v>Finance</v>
    <v>16</v>
    <v>224</v>
    <v>165</v>
    <v>0.97509999999999997</v>
    <v>-1</v>
    <v>-5.8479999999999999E-3</v>
    <v>IDR</v>
    <v>PT Panin Financial Tbk is an Indonesia-based consulting and investment company primarily engaged in financial industry. Through its subsidiary, PT Panin Dai-ichi Life, it is engaged in life insurance business. Its other subsidiaries include PT Panin Internasional, which is engaged in provisioning management consulting for archiving industry, and PT Epanin Dotcom, which is engaged in provisioning information technology services and management information system.</v>
    <v>304</v>
    <v>Indonesia Stock Exchange</v>
    <v>XIDX</v>
    <v>XIDX</v>
    <v>Gedung Panin Life Center 7th Floor, Jl.Letjend S Parman Kav 91, JAKARTA BARAT, DKI JAKARTA, 11420 ID</v>
    <v>172</v>
    <v>Insurance</v>
    <v>Stock</v>
    <v>44649.34375</v>
    <v>421</v>
    <v>169</v>
    <v>5475775000000</v>
    <v>PT Panin Financial Tbk</v>
    <v>PT Panin Financial Tbk</v>
    <v>172</v>
    <v>171</v>
    <v>170</v>
    <v>32022070000</v>
    <v>PNLF</v>
    <v>PT Panin Financial Tbk (XIDX:PNLF)</v>
    <v>20434700</v>
    <v>23204322.950800002</v>
    <v>1975</v>
  </rv>
  <rv s="2">
    <v>422</v>
  </rv>
  <rv s="0">
    <v>https://www.bing.com/financeapi/forcetrigger?t=bn9pm7&amp;q=XIDX%3aUNTR&amp;form=skydnc</v>
    <v>Learn more on Bing</v>
  </rv>
  <rv s="16">
    <v>en-ID</v>
    <v>bn9pm7</v>
    <v>268435456</v>
    <v>1</v>
    <v>Powered by Refinitiv</v>
    <v>38</v>
    <v>PT United Tractors Tbk (XIDX:UNTR)</v>
    <v>2</v>
    <v>50</v>
    <v>Finance</v>
    <v>16</v>
    <v>27750</v>
    <v>18525</v>
    <v>0.71879999999999999</v>
    <v>-575</v>
    <v>-2.1617000000000001E-2</v>
    <v>IDR</v>
    <v>PT United Tractors Tbk is an Indonesia-based company primarily engaged in the provision of mining contracting. Major business activities of the Company and its subsidiaries are categorized into four segments: Construction machinery, Mining contracting, Coal mining and Construction industry. The Construction machinery segment includes the sale and leasing of heavy equipment, as well as after-sales services. The Mining contracting segment provides mining concession holders with various mining services, including mine design, exploration, extraction, hauling, barging and transporting commodities. The Coal mining segment focuses on the mining and selling of coal. The Construction industry segment provides construction services, such as foundation works, structural works, demolition and infrastructure development. The Company's subsidiaries include PT Pamapersada Nusantara, PT Karya Supra Perkasa, PT United Tractors Pandu Engineering, PT Bina Pertiw and UT Heavy Industry (S) Pte Ltd.</v>
    <v>29118</v>
    <v>Indonesia Stock Exchange</v>
    <v>XIDX</v>
    <v>XIDX</v>
    <v>Jl. Raya Bekasi Km. 22, Cakung, JAKARTA, DKI JAKARTA, 13910 ID</v>
    <v>26425</v>
    <v>Coal</v>
    <v>Stock</v>
    <v>44649.34375</v>
    <v>424</v>
    <v>26025</v>
    <v>99221590000000</v>
    <v>PT United Tractors Tbk</v>
    <v>PT United Tractors Tbk</v>
    <v>26300</v>
    <v>26600</v>
    <v>26025</v>
    <v>3730135000</v>
    <v>UNTR</v>
    <v>PT United Tractors Tbk (XIDX:UNTR)</v>
    <v>2575500</v>
    <v>4655642.6229999997</v>
    <v>1973</v>
  </rv>
  <rv s="2">
    <v>425</v>
  </rv>
  <rv s="0">
    <v>https://www.bing.com/financeapi/forcetrigger?t=bn98pr&amp;q=XIDX%3aMAPI&amp;form=skydnc</v>
    <v>Learn more on Bing</v>
  </rv>
  <rv s="16">
    <v>en-ID</v>
    <v>bn98pr</v>
    <v>268435456</v>
    <v>1</v>
    <v>Powered by Refinitiv</v>
    <v>38</v>
    <v>PT Mitra Adiperkasa Tbk (XIDX:MAPI)</v>
    <v>2</v>
    <v>50</v>
    <v>Finance</v>
    <v>16</v>
    <v>920</v>
    <v>610</v>
    <v>1.6921999999999999</v>
    <v>5</v>
    <v>5.9880000000000003E-3</v>
    <v>IDR</v>
    <v>PT Mitra Adiperkasa Tbk is an Indonesia-based company primarily engaged in operating various brands of retail stores in Indonesia. Major business activities of the Group, comprising the Company and its subsidiaries, are classified into four segments: Retail sales, which focuses on the trading of clothes, sports equipment and accessories, as well as toys; Department stores; Cafes and restaurant, and Others, including property development, investment holding, book store operation and handicraft trading. Some brands of the retail stores it operates are namely Zara, Lacoste, Cotton On, Marks &amp; Spencer, Bershka, Topshop, Ben Sherman, Crabtree &amp; Evelyn, Steve Madden, Kidz Station, Planet Sports, The Sports Warehouse, Sports Station, Desigual and Samsonite. Its department stores include Sogo, Debenhams, Seibu and Galeries Lafayette. The cafes and restaurants under its management include Starbuck, Cold Stone Creamery, Sushi Genki, Burger King and Domino's Pizza.</v>
    <v>19450</v>
    <v>Indonesia Stock Exchange</v>
    <v>XIDX</v>
    <v>XIDX</v>
    <v>Sahid Sudirman Center lt. 29 Jl. Jend. Sudirman kav. 86, JAKARTA, DKI JAKARTA, 10220 ID</v>
    <v>860</v>
    <v>Diversified Retail</v>
    <v>Stock</v>
    <v>44649.34375</v>
    <v>427</v>
    <v>835</v>
    <v>13861000000000</v>
    <v>PT Mitra Adiperkasa Tbk</v>
    <v>PT Mitra Adiperkasa Tbk</v>
    <v>835</v>
    <v>835</v>
    <v>840</v>
    <v>16600000000</v>
    <v>MAPI</v>
    <v>PT Mitra Adiperkasa Tbk (XIDX:MAPI)</v>
    <v>6953500</v>
    <v>15114022.9508</v>
    <v>1995</v>
  </rv>
  <rv s="2">
    <v>428</v>
  </rv>
  <rv s="0">
    <v>https://www.bing.com/financeapi/forcetrigger?t=bn9lgh&amp;q=XIDX%3aSMGR&amp;form=skydnc</v>
    <v>Learn more on Bing</v>
  </rv>
  <rv s="13">
    <v>en-ID</v>
    <v>bn9lgh</v>
    <v>268435456</v>
    <v>1</v>
    <v>Powered by Refinitiv</v>
    <v>30</v>
    <v>PT Semen Indonesia (Persero) Tbk (XIDX:SMGR)</v>
    <v>2</v>
    <v>55</v>
    <v>Finance</v>
    <v>16</v>
    <v>11650</v>
    <v>6150</v>
    <v>1.6107</v>
    <v>-100</v>
    <v>-1.4760000000000001E-2</v>
    <v>IDR</v>
    <v>PT Semen Indonesia (Persero) Tbk is an Indonesia-based holding company primarily engaged in cement manufacturing. The Company classifies its business into two segments: cement production and non-cement production. It operates its cement production business through its subsidiaries, namely PT Semen Padang, PT Semen Tonasa, PT Semen Gresik, Thang Long Cement JSC, Thang Long Cement JSC 2 and An Phu Cement JSC. The types of cement it produces include Ordinary Portland Cement; Portland Cement, including Type II, Type III and Type V; Special Blended Cement; Portland Pozzolan Cement; Portland Composite Cement, and Super Masonry Cement. Its cement manufacturing facilities are located in Indarung, Tuban and Pangkep, Indonesia and Quang Ninh, Vietnam. Its non-cement production business comprises coal, limestone and clay mining, cement sack manufacturing, ready-mix concrete manufacturing, industrial area leasing and information and communication technology (ICT) provisioning.</v>
    <v>9500</v>
    <v>Indonesia Stock Exchange</v>
    <v>XIDX</v>
    <v>XIDX</v>
    <v>South Quarter, Tower A, Lt 19-20, Jl. R.A. Kartini Kav.8, Cilandak Barat, JAKARTA SELATAN, DKI JAKARTA, 12430 ID</v>
    <v>6850</v>
    <v>Construction Materials</v>
    <v>Stock</v>
    <v>44649.34375</v>
    <v>430</v>
    <v>6675</v>
    <v>40186050000000</v>
    <v>PT Semen Indonesia (Persero) Tbk</v>
    <v>PT Semen Indonesia (Persero) Tbk</v>
    <v>6800</v>
    <v>6775</v>
    <v>6675</v>
    <v>5931520000</v>
    <v>SMGR</v>
    <v>PT Semen Indonesia (Persero) Tbk (XIDX:SMGR)</v>
    <v>5386700</v>
    <v>12767111.475400001</v>
  </rv>
  <rv s="2">
    <v>431</v>
  </rv>
  <rv s="5">
    <v>en-US</v>
    <v>a1mou2</v>
    <v>268435456</v>
    <v>1</v>
    <v>Powered by Refinitiv</v>
    <v>5</v>
    <v>APPLE INC. (XNAS:AAPL)</v>
    <v>7</v>
    <v>8</v>
    <v>Finance</v>
    <v>9</v>
    <v>182.94</v>
    <v>118.86</v>
    <v>1.1890000000000001</v>
    <v>0.88</v>
    <v>5.0370000000000007E-3</v>
    <v>USD</v>
    <v>Apple Inc. designs, manufactures and markets smartphones, personal computers, tablets, wearables and accessories, and sells a variety of related services. The Company’s products include iPhone, Mac, iPad, and Wearables, Home and Accessories. iPhone is the Company’s line of smartphones based on its iOS operating system. Mac is the Company’s line of personal computers based on its macOS operating system. iPad is the Company’s line of multi-purpose tablets based on its iPadOS operating system. Wearables, Home and Accessories includes AirPods, Apple TV, Apple Watch, Beats products, HomePod, iPod touch and other Apple-branded and third-party accessories. AirPods are the Company’s wireless headphones that interact with Siri. Apple Watch is the Company’s line of smart watches. Its services include Advertising, AppleCare, Cloud Services, Digital Content and Payment Services. Its customers are primarily in the consumer, small and mid-sized business, education, enterprise and government markets.</v>
    <v>154000</v>
    <v>Nasdaq Stock Market</v>
    <v>XNAS</v>
    <v>XNAS</v>
    <v>1 Apple Park Way, CUPERTINO, CA, 95014-0642 US</v>
    <v>175.73</v>
    <v>142</v>
    <v>Computers, Phones &amp; Household Electronics</v>
    <v>Stock</v>
    <v>44648.999993182813</v>
    <v>143</v>
    <v>172</v>
    <v>2865693664000</v>
    <v>APPLE INC.</v>
    <v>APPLE INC.</v>
    <v>172.17</v>
    <v>28.258800000000001</v>
    <v>174.72</v>
    <v>175.6</v>
    <v>16319440000</v>
    <v>AAPL</v>
    <v>APPLE INC. (XNAS:AAPL)</v>
    <v>126819</v>
    <v>93858034</v>
    <v>1977</v>
  </rv>
  <rv s="2">
    <v>433</v>
  </rv>
  <rv s="5">
    <v>en-US</v>
    <v>a21k2w</v>
    <v>268435456</v>
    <v>1</v>
    <v>Powered by Refinitiv</v>
    <v>5</v>
    <v>QUALCOMM INCORPORATED (XNAS:QCOM)</v>
    <v>7</v>
    <v>8</v>
    <v>Finance</v>
    <v>9</v>
    <v>193.58</v>
    <v>122.16500000000001</v>
    <v>1.2350000000000001</v>
    <v>0.48</v>
    <v>3.039E-3</v>
    <v>USD</v>
    <v>Qualcomm Incorporated is engaged in the development and commercialization of foundational technologies for the wireless industry. Its segments include Qualcomm CDMA Technologies (QCT), Qualcomm Technology Licensing (QTL) and Qualcomm Strategic Initiatives (QSI). QCT segment develops and supplies integrated circuits and system software based on third generation/fourth generation/fifth generation (3G/4G/5G) and other technologies for use in wireless voice and data communications, networking, computing, multimedia and global positioning system (GPS) products. QTL segment grants licenses or otherwise provides rights to use portions of its intellectual property portfolio, which, among other rights, includes certain patent rights essential to and/or useful in the manufacture, sale and/or use of certain wireless products, including, without limitation, products implementing CDMA2000, WCDMA, LTE and/or OFDMA-based 5G standards and their derivatives. QSI segment makes strategic investments.</v>
    <v>45000</v>
    <v>Nasdaq Stock Market</v>
    <v>XNAS</v>
    <v>XNAS</v>
    <v>5775 Morehouse Dr, SAN DIEGO, CA, 92121-1714 US</v>
    <v>158.5</v>
    <v>25</v>
    <v>Semiconductors &amp; Semiconductor Equipment</v>
    <v>Stock</v>
    <v>44648.999906411722</v>
    <v>26</v>
    <v>154.05000000000001</v>
    <v>178573150000</v>
    <v>QUALCOMM INCORPORATED</v>
    <v>QUALCOMM INCORPORATED</v>
    <v>156.5</v>
    <v>18.159500000000001</v>
    <v>157.97</v>
    <v>158.44999999999999</v>
    <v>1127000000</v>
    <v>QCOM</v>
    <v>QUALCOMM INCORPORATED (XNAS:QCOM)</v>
    <v>5868</v>
    <v>10198871</v>
    <v>1991</v>
  </rv>
  <rv s="2">
    <v>435</v>
  </rv>
  <rv s="6">
    <v>en-US</v>
    <v>a24kjc</v>
    <v>268435456</v>
    <v>1</v>
    <v>Powered by Refinitiv</v>
    <v>11</v>
    <v>Taiwan Semiconductor Manufacturing Co., Ltd. (XNYS:TSM)</v>
    <v>2</v>
    <v>12</v>
    <v>Finance</v>
    <v>9</v>
    <v>145</v>
    <v>97.62</v>
    <v>0.91510000000000002</v>
    <v>-0.4</v>
    <v>-3.748E-3</v>
    <v>USD</v>
    <v>Taiwan Semiconductor Manufacturing Co., Ltd. is principally engaged in the manufacture and sale of integrated circuits and semiconductor products. The Company is mainly engaged in the manufacture, sale and packaging test of integrated circuits and other semiconductor devices, the manufacture of masks, as well as the provision of computer-aided design services. The Company's products are applied to personal computer (PCs) and peripheral products, information applications, wired and wireless communication systems, industrial equipment, consumer electronics such as digital video disc players, digital TVs, game consoles and digital cameras. The Company is also engaged in the development of 5 nanometer process technology, mask technology, complementary metal oxide semiconductor (CMOS) image sensor technology, three dimensional (3D) IC and TSMC system on integrated chips (TSMC-SoIC) technology, among others. The Company distributes its products to the United States, Asia and Europe.</v>
    <v>52045</v>
    <v>New York Stock Exchange</v>
    <v>XNYS</v>
    <v>XNYS</v>
    <v>No.8, Li-Hsin 6th Road, Hsinchu Science Park, HSINCHU, HSINCHU, 300 TW</v>
    <v>106.72</v>
    <v>Semiconductors &amp; Semiconductor Equipment</v>
    <v>Stock</v>
    <v>44648.999377060158</v>
    <v>152</v>
    <v>104.61</v>
    <v>540904700000</v>
    <v>Taiwan Semiconductor Manufacturing Co., Ltd.</v>
    <v>Taiwan Semiconductor Manufacturing Co., Ltd.</v>
    <v>105.62</v>
    <v>25.616700000000002</v>
    <v>106.73</v>
    <v>106.33</v>
    <v>5186354000</v>
    <v>TSM</v>
    <v>Taiwan Semiconductor Manufacturing Co., Ltd. (XNYS:TSM)</v>
    <v>7066</v>
    <v>15329658</v>
    <v>1987</v>
  </rv>
  <rv s="2">
    <v>437</v>
  </rv>
  <rv s="6">
    <v>en-US</v>
    <v>a1slm7</v>
    <v>268435456</v>
    <v>1</v>
    <v>Powered by Refinitiv</v>
    <v>11</v>
    <v>Meta Platforms, Inc. (XNAS:FB)</v>
    <v>2</v>
    <v>12</v>
    <v>Finance</v>
    <v>9</v>
    <v>384.33</v>
    <v>185.82</v>
    <v>1.3942000000000001</v>
    <v>1.77</v>
    <v>7.979E-3</v>
    <v>USD</v>
    <v>Meta Platforms Inc., formerly Facebook, Inc., is a social technology company. The Company is engaged in the products that enable people to connect and share with friends and family through mobile devices, personal computers, virtual reality (VR) headsets, wearables, and in-home devices. The Company operates through two segments: Family of Apps (FoA) and Reality Labs (RL). FoA includes Facebook, Instagram, Messenger, WhatsApp, and other services. RL includes augmented and virtual reality-related consumer hardware, software, and content. Facebook enables people to connect, share, discover and communicate with each other on mobile devices and personal computers. Instagram is a place where people can express themselves through photos, videos, and private messaging, and connect with and shop from their favorite businesses and creators. Messenger is a messaging application for people to connect with friends, family, groups, and businesses across platforms and devices.</v>
    <v>71970</v>
    <v>Nasdaq Stock Market</v>
    <v>XNAS</v>
    <v>XNAS</v>
    <v>1601 Willow Rd, MENLO PARK, CA, 94025 US</v>
    <v>224.04</v>
    <v>Software &amp; IT Services</v>
    <v>Stock</v>
    <v>44648.999666678123</v>
    <v>29</v>
    <v>219.54</v>
    <v>608599011780</v>
    <v>Meta Platforms, Inc.</v>
    <v>Meta Platforms, Inc.</v>
    <v>222.13</v>
    <v>16.210699999999999</v>
    <v>221.82</v>
    <v>223.59</v>
    <v>2721942000</v>
    <v>FB</v>
    <v>Meta Platforms, Inc. (XNAS:FB)</v>
    <v>32544</v>
    <v>34766175</v>
    <v>2004</v>
  </rv>
  <rv s="2">
    <v>439</v>
  </rv>
  <rv s="6">
    <v>en-US</v>
    <v>a1nhlh</v>
    <v>268435456</v>
    <v>1</v>
    <v>Powered by Refinitiv</v>
    <v>11</v>
    <v>AMAZON.COM, INC. (XNAS:AMZN)</v>
    <v>2</v>
    <v>12</v>
    <v>Finance</v>
    <v>9</v>
    <v>3773.0781999999999</v>
    <v>2671.45</v>
    <v>1.1224000000000001</v>
    <v>84.34</v>
    <v>2.5592999999999998E-2</v>
    <v>USD</v>
    <v>Amazon.com, Inc. provides a range of products and services to customers. The products offered through its stores include merchandise and content that it purchased for resale and products offered by third-party sellers. It also manufactures and sells electronic devices, including Kindle, Fire tablet, Fire TV, Echo, and Ring, and it develops and produces media content. It operates through three segments: North America, International and Amazon Web Services (AWS). The AWS segment consists of global sales of compute, storage, database, and other services for start-ups, enterprises, government agencies, and academic institutions. It provides advertising services to sellers, vendors, publishers, authors, and others, through programs, such as sponsored advertisements, display, and video advertising. It serves consumers through its online and physical stores. Customers access its offerings through websites, mobile applications, Alexa, devices, streaming, and physically visiting its stores.</v>
    <v>1608000</v>
    <v>Nasdaq Stock Market</v>
    <v>XNAS</v>
    <v>XNAS</v>
    <v>410 Terry Ave N, SEATTLE, WA, 98109-5210 US</v>
    <v>3380.75</v>
    <v>Diversified Retail</v>
    <v>Stock</v>
    <v>44648.999853310153</v>
    <v>158</v>
    <v>3298</v>
    <v>1719797391564</v>
    <v>AMAZON.COM, INC.</v>
    <v>AMAZON.COM, INC.</v>
    <v>3299.5</v>
    <v>52.226700000000001</v>
    <v>3295.47</v>
    <v>3379.81</v>
    <v>508844400</v>
    <v>AMZN</v>
    <v>AMAZON.COM, INC. (XNAS:AMZN)</v>
    <v>2343</v>
    <v>3602581</v>
    <v>1996</v>
  </rv>
  <rv s="2">
    <v>441</v>
  </rv>
  <rv s="5">
    <v>en-US</v>
    <v>a1mv7w</v>
    <v>268435456</v>
    <v>1</v>
    <v>Powered by Refinitiv</v>
    <v>5</v>
    <v>ADOBE INC. (XNAS:ADBE)</v>
    <v>7</v>
    <v>8</v>
    <v>Finance</v>
    <v>9</v>
    <v>699.54</v>
    <v>407.94</v>
    <v>1.0412999999999999</v>
    <v>18.39</v>
    <v>4.2606999999999999E-2</v>
    <v>USD</v>
    <v>Adobe Inc., formerly Adobe Systems Incorporated, is a software company. The Company offers products and services used by professionals, marketers, knowledge workers, application developers, enterprises and consumers for creating, managing, measuring, optimizing and engaging with compelling content and experiences. It operates through three segments: Digital Media, Digital Experience and Publishing. Its Digital Media segment provides tools and solutions that enable individuals, small and medium businesses and enterprises to create, publish, promote and monetize their digital content. Its Digital Experience segment provides solutions and services for how digital advertising and marketing are created, managed, executed, measured and optimized. Its Publishing segment addresses market opportunities ranging from the diverse authoring and publishing needs of technical and business publishing to its legacy type and original equipment manufacturer printing businesses.</v>
    <v>25988</v>
    <v>Nasdaq Stock Market</v>
    <v>XNAS</v>
    <v>XNAS</v>
    <v>345 PARK AVE, SAN JOSE, CA, 95110-2704 US</v>
    <v>450.32</v>
    <v>133</v>
    <v>Software &amp; IT Services</v>
    <v>Stock</v>
    <v>44648.999957094529</v>
    <v>134</v>
    <v>433.15</v>
    <v>212269717000</v>
    <v>ADOBE INC.</v>
    <v>ADOBE INC.</v>
    <v>433.41500000000002</v>
    <v>44.694400000000002</v>
    <v>431.62</v>
    <v>450.01</v>
    <v>471700000</v>
    <v>ADBE</v>
    <v>ADOBE INC. (XNAS:ADBE)</v>
    <v>2494</v>
    <v>4328742</v>
    <v>1997</v>
  </rv>
  <rv s="2">
    <v>443</v>
  </rv>
  <rv s="5">
    <v>en-US</v>
    <v>a25ya2</v>
    <v>268435456</v>
    <v>1</v>
    <v>Powered by Refinitiv</v>
    <v>5</v>
    <v>WALMART INC. (XNYS:WMT)</v>
    <v>7</v>
    <v>8</v>
    <v>Finance</v>
    <v>9</v>
    <v>152.57</v>
    <v>132.01</v>
    <v>0.54269999999999996</v>
    <v>2.5499999999999998</v>
    <v>1.7776E-2</v>
    <v>USD</v>
    <v>Walmart Inc. offers shopping opportunities in both retail stores and through e-commerce and provides access to its other service offerings. The Company offers an assortment of merchandise and services at everyday low prices (EDLP). The Company operates through three segments: Walmart U.S., Walmart International and Sam's Club. The Walmart U.S. segment is a merchandiser of consumer products, operating under the Walmart and Walmart Neighborhood Market brands, as well as walmart.com and other e-commerce brands, and it operates in the United States. The Walmart International segment includes various formats divided into two categories: retail and wholesale. These categories consist of various formats, including supercenters, supermarkets, hypermarkets, warehouse clubs (including Sam's Clubs) and cash &amp; carry, as well as e-commerce through walmart.com.mx, walmart.ca, flipkart.com and other sites. The Sam's Club segment is a membership-only warehouse club that also operates samsclub.com.</v>
    <v>2300000</v>
    <v>New York Stock Exchange</v>
    <v>XNYS</v>
    <v>XNYS</v>
    <v>702 SW 8th St, BENTONVILLE, AR, 72716-6209 US</v>
    <v>146.06</v>
    <v>323</v>
    <v>Food &amp; Drug Retailing</v>
    <v>Stock</v>
    <v>44648.999568842184</v>
    <v>324</v>
    <v>143.30000000000001</v>
    <v>401759880000</v>
    <v>WALMART INC.</v>
    <v>WALMART INC.</v>
    <v>143.5</v>
    <v>29.939</v>
    <v>143.44999999999999</v>
    <v>146</v>
    <v>2751780000</v>
    <v>WMT</v>
    <v>WALMART INC. (XNYS:WMT)</v>
    <v>901</v>
    <v>8346368</v>
    <v>1969</v>
  </rv>
  <rv s="2">
    <v>445</v>
  </rv>
  <rv s="6">
    <v>en-US</v>
    <v>a1o4mw</v>
    <v>268435456</v>
    <v>1</v>
    <v>Powered by Refinitiv</v>
    <v>11</v>
    <v>Alibaba Group Holding Limited (XNYS:BABA)</v>
    <v>2</v>
    <v>12</v>
    <v>Finance</v>
    <v>9</v>
    <v>245.69</v>
    <v>73.28</v>
    <v>0.89510000000000001</v>
    <v>2.1</v>
    <v>1.8586000000000002E-2</v>
    <v>USD</v>
    <v>Alibaba Group Holding Ltd is a holding company that provides the technology infrastructure and marketing reach to help merchants, brands and other businesses to leverage the power of new technology to engage with users and customers to operate. The Company operates four business segments. The Core Commerce segment provides China retail, China wholesale, International retail, International wholesale, Cainiao logistics services and local consumer services through Taobao Marketplace and Tmall. The Cloud Computing segment provides complete suite of cloud services, including database, storage, network virtualization services, big data analytics and others. The Digital Media and Entertainment segment provides consumer services beyond the core business operations. The Innovation Initiatives and Others segment is to innovate and deliver new services and products.</v>
    <v>259316</v>
    <v>New York Stock Exchange</v>
    <v>XNYS</v>
    <v>XNYS</v>
    <v>No. 699 Wangshang Road, Binjiang District, HANGZHOU, ZHEJIANG, 310052 CN</v>
    <v>116.23</v>
    <v>Software &amp; IT Services</v>
    <v>Stock</v>
    <v>44648.999989652344</v>
    <v>53</v>
    <v>111.92</v>
    <v>307185000000</v>
    <v>Alibaba Group Holding Limited</v>
    <v>Alibaba Group Holding Limited</v>
    <v>113.86</v>
    <v>30.642099999999999</v>
    <v>112.99</v>
    <v>115.09</v>
    <v>2718179000</v>
    <v>BABA</v>
    <v>Alibaba Group Holding Limited (XNYS:BABA)</v>
    <v>60918</v>
    <v>47391662</v>
    <v>1999</v>
  </rv>
  <rv s="2">
    <v>447</v>
  </rv>
  <rv s="5">
    <v>en-US</v>
    <v>a1y4oc</v>
    <v>268435456</v>
    <v>1</v>
    <v>Powered by Refinitiv</v>
    <v>5</v>
    <v>MICRON TECHNOLOGY, INC. (XNAS:MU)</v>
    <v>7</v>
    <v>8</v>
    <v>Finance</v>
    <v>9</v>
    <v>98.45</v>
    <v>65.67</v>
    <v>1.1597999999999999</v>
    <v>1.76</v>
    <v>2.2534999999999999E-2</v>
    <v>USD</v>
    <v>Micron Technology, Inc. offers memory and storage solutions. The Company's portfolio of memory and storage technologies, including dynamic random-access memory (DRAM), negative-AND (NAND), three-dimensional (3D) XPoint memory, and NOR. Its brands include Micron and Crucial. Its business segments include Compute and Networking Business Unit (CNBU), which includes memory products sold into client, cloud server, enterprise, graphics, and networking markets; Mobile Business Unit (MBU), which includes memory products sold into smartphone and other mobile-device markets; Storage Business Unit (SBU), which includes solid state drives (SSDs) and solutions sold into enterprise, cloud, client, and consumer storage markets, other storage products sold in component and wafer form, and Embedded Business Unit (EBU), which includes memory and storage products sold into automotive, industrial, and consumer markets.</v>
    <v>43000</v>
    <v>Nasdaq Stock Market</v>
    <v>XNAS</v>
    <v>XNAS</v>
    <v>8000 S Federal Way, Po Box 6, BOISE, ID, 83716-9632 US</v>
    <v>80.180000000000007</v>
    <v>163</v>
    <v>Semiconductors &amp; Semiconductor Equipment</v>
    <v>Stock</v>
    <v>44648.999825335159</v>
    <v>164</v>
    <v>77.27</v>
    <v>89425391220</v>
    <v>MICRON TECHNOLOGY, INC.</v>
    <v>MICRON TECHNOLOGY, INC.</v>
    <v>78.59</v>
    <v>12.1791</v>
    <v>78.099999999999994</v>
    <v>79.86</v>
    <v>1119777000</v>
    <v>MU</v>
    <v>MICRON TECHNOLOGY, INC. (XNAS:MU)</v>
    <v>48889</v>
    <v>23767524</v>
    <v>1984</v>
  </rv>
  <rv s="2">
    <v>449</v>
  </rv>
  <rv s="6">
    <v>en-US</v>
    <v>a1ohm7</v>
    <v>268435456</v>
    <v>1</v>
    <v>Powered by Refinitiv</v>
    <v>11</v>
    <v>Baidu, Inc. (XNAS:BIDU)</v>
    <v>2</v>
    <v>12</v>
    <v>Finance</v>
    <v>9</v>
    <v>228.53</v>
    <v>102.18</v>
    <v>0.94230000000000003</v>
    <v>0.91</v>
    <v>6.2100000000000002E-3</v>
    <v>USD</v>
    <v>Baidu Inc is a Chinese language Internet search provider. The Company offers a Chinese language search platform on its Baidu.com Website that enables users to find information online, including Webpages, news, images, documents and multimedia files, through links provided on its Website. The Company operates through two segments, Baidu Core segment and iQIYI segment. Baidu Core mainly provides search-based, feed-based, and other online marketing services, as well as products and services from the Company’s new artificial intelligence (AI) initiatives. Within Baidu Core, the Company’s product and services offerings are categorized as Mobile Ecosystem, Baidu AI Cloud and Intelligent Driving &amp; Other Growth Initiatives. iQIYI is an online entertainment service provider that offers original, professionally produced and partner-generated content on its platform.</v>
    <v>41000</v>
    <v>Nasdaq Stock Market</v>
    <v>XNAS</v>
    <v>XNAS</v>
    <v>Baidu Campus, No. 10 Shangdi 10th Street, Haidian District, BEIJING, BEIJING, 100085 CN</v>
    <v>148.41990000000001</v>
    <v>Software &amp; IT Services</v>
    <v>Stock</v>
    <v>44648.999801724218</v>
    <v>137</v>
    <v>144.80000000000001</v>
    <v>51321255314</v>
    <v>Baidu, Inc.</v>
    <v>Baidu, Inc.</v>
    <v>147</v>
    <v>31.8459</v>
    <v>146.54</v>
    <v>147.44999999999999</v>
    <v>348058700</v>
    <v>BIDU</v>
    <v>Baidu, Inc. (XNAS:BIDU)</v>
    <v>3666</v>
    <v>5887907</v>
    <v>2000</v>
  </rv>
  <rv s="2">
    <v>451</v>
  </rv>
  <rv s="5">
    <v>en-US</v>
    <v>a1ndww</v>
    <v>268435456</v>
    <v>1</v>
    <v>Powered by Refinitiv</v>
    <v>5</v>
    <v>ADVANCED MICRO DEVICES, INC. (XNAS:AMD)</v>
    <v>7</v>
    <v>8</v>
    <v>Finance</v>
    <v>9</v>
    <v>164.4599</v>
    <v>72.5</v>
    <v>1.8252999999999999</v>
    <v>0.56999999999999995</v>
    <v>4.7629999999999999E-3</v>
    <v>USD</v>
    <v>Advanced Micro Devices, Inc. is a global semiconductor company. Its segments include Computing and Graphics, and Enterprise, Embedded and Semi-Custom. The Computing and Graphics segment primarily includes desktop and notebook microprocessors, accelerated processing units that integrate microprocessors and graphics, chipsets, discrete graphics processing units (GPUs), data center and professional GPUs, and development services. It may also sell or license portions of its intellectual property (IP) portfolio. The Enterprise, Embedded and Semi-Custom segment primarily includes server and embedded processors, semi-custom system-on-chip (SoC) products, development services, and technology for game consoles, and it may also sell or license portions of its IP portfolio. Its microprocessor customers consist primarily of original equipment manufacturers (OEMs), large public cloud service providers, original design manufacturers (ODMs), system integrators, and independent distributors.</v>
    <v>15500</v>
    <v>Nasdaq Stock Market</v>
    <v>XNAS</v>
    <v>XNAS</v>
    <v>2485 Augustine Dr, SANTA CLARA, CA, 95054-3002 US</v>
    <v>120.41</v>
    <v>6</v>
    <v>Semiconductors &amp; Semiconductor Equipment</v>
    <v>Stock</v>
    <v>44648.999995370315</v>
    <v>7</v>
    <v>116.71</v>
    <v>195674367600</v>
    <v>ADVANCED MICRO DEVICES, INC.</v>
    <v>ADVANCED MICRO DEVICES, INC.</v>
    <v>117.7</v>
    <v>46.713999999999999</v>
    <v>119.67</v>
    <v>120.24</v>
    <v>1627365000</v>
    <v>AMD</v>
    <v>ADVANCED MICRO DEVICES, INC. (XNAS:AMD)</v>
    <v>55349</v>
    <v>111938513</v>
    <v>1969</v>
  </rv>
  <rv s="2">
    <v>453</v>
  </rv>
  <rv s="6">
    <v>en-US</v>
    <v>a242z2</v>
    <v>268435456</v>
    <v>1</v>
    <v>Powered by Refinitiv</v>
    <v>11</v>
    <v>Teladoc Health, Inc. (XNYS:TDOC)</v>
    <v>2</v>
    <v>12</v>
    <v>Finance</v>
    <v>9</v>
    <v>194.99</v>
    <v>50.08</v>
    <v>0.41649999999999998</v>
    <v>3.11</v>
    <v>4.6620000000000002E-2</v>
    <v>USD</v>
    <v>Teladoc Health, Inc. provides virtual healthcare services. The Company operates in health services segment. The Company provides virtual access to care with a portfolio of services and solutions, which includes various medical subspecialties from non-urgent, episodic needs, such as flu and upper respiratory infections, to chronic, complicated medical conditions, such as hypertension, cancer and congestive heart failure. It provides provide virtual healthcare services on a business-to-business (B2B) basis to its clients including employers, health plans, hospitals and health systems, and insurance and financial services companies spanning the global healthcare landscape and provide services to consumers directly and through channel partners. The Company’s consumer brands, including Teladoc, Livongo, Advance Medical, Best Doctors, BetterHelp and HealthiestYou, provides access to advice and resolution for an array of healthcare needs.</v>
    <v>5100</v>
    <v>New York Stock Exchange</v>
    <v>XNYS</v>
    <v>XNYS</v>
    <v>2 Manhattanville Rd Ste 203, PURCHASE, NY, 10577-2118 US</v>
    <v>70.400000000000006</v>
    <v>Healthcare Providers &amp; Services</v>
    <v>Stock</v>
    <v>44648.999597082809</v>
    <v>95</v>
    <v>66.53</v>
    <v>10695420000</v>
    <v>Teladoc Health, Inc.</v>
    <v>Teladoc Health, Inc.</v>
    <v>67.61</v>
    <v>0</v>
    <v>66.709999999999994</v>
    <v>69.819999999999993</v>
    <v>160327000</v>
    <v>TDOC</v>
    <v>Teladoc Health, Inc. (XNYS:TDOC)</v>
    <v>1466</v>
    <v>5661729</v>
    <v>2008</v>
  </rv>
  <rv s="2">
    <v>455</v>
  </rv>
  <rv s="6">
    <v>en-US</v>
    <v>bjqejc</v>
    <v>268435456</v>
    <v>1</v>
    <v>Powered by Refinitiv</v>
    <v>11</v>
    <v>NIO INC. (XNYS:NIO)</v>
    <v>2</v>
    <v>12</v>
    <v>Finance</v>
    <v>9</v>
    <v>55.13</v>
    <v>13.01</v>
    <v>2.4205000000000001</v>
    <v>1.3</v>
    <v>6.5294000000000005E-2</v>
    <v>USD</v>
    <v>NIO Inc is a China-based holding company principally engaged in the research, development and manufacturing of premium smart electric vehicles. The Company is mainly engaged in the design, development, manufacture and sales of high-end smart electric vehicles. The Company's products mainly include ES8, ES6, EC6 and ET7. The Company develops battery swapping technologies and autonomous driving technologies. Its electric vehicles apply NAD (NIO Autonomous Driving) technology, including super computing platform NIO Adam and super sensing system NIO Aquila. The Company is also engaged in the provision of charging piles, vehicle internet connection services and extended lifetime warranties. The Company mainly conducts its businesses in the domestic market.</v>
    <v>7763</v>
    <v>New York Stock Exchange</v>
    <v>XNYS</v>
    <v>XNYS</v>
    <v>Building 20, No. 56 Antuo Road, Anting Town, Jiading District, Shanghai, SHANGHAI, 201804 CN</v>
    <v>21.23</v>
    <v>Automobiles &amp; Auto Parts</v>
    <v>Stock</v>
    <v>44648.999856747658</v>
    <v>107</v>
    <v>20.3201</v>
    <v>30742560000</v>
    <v>NIO INC.</v>
    <v>NIO INC.</v>
    <v>20.414999999999999</v>
    <v>0</v>
    <v>19.91</v>
    <v>21.21</v>
    <v>1543785000</v>
    <v>NIO</v>
    <v>NIO INC. (XNYS:NIO)</v>
    <v>369802</v>
    <v>86272711</v>
    <v>2014</v>
  </rv>
  <rv s="2">
    <v>457</v>
  </rv>
  <rv s="9">
    <v>en-US</v>
    <v>bvg8m7</v>
    <v>268435456</v>
    <v>1</v>
    <v>Powered by Refinitiv</v>
    <v>20</v>
    <v>XPENG INC. (XNYS:XPEV)</v>
    <v>2</v>
    <v>21</v>
    <v>Finance</v>
    <v>9</v>
    <v>56.45</v>
    <v>18.010000000000002</v>
    <v>0.08</v>
    <v>2.957E-3</v>
    <v>USD</v>
    <v>Xpeng Inc is a China-based company engaged in design, development, production and sales of smart electric vehicles (Smart EV). The Company's primary products are environmentally friendly vehicles, namely an SUV (the G3) and a four-door sports sedan (the P7). The Company’s Smart EVs primarily target the mid- to high-end segment in China’s passenger vehicle market. The Company aims developing full-stack autonomous driving technology, in-car intelligent operating system and core vehicle systems in-house through the its proprietary software, core hardware and data technologies. The Company sells its vehicle products under the brand Xpeng. It also provides a range of services to the clients, including supercharging service, maintenance service, ride-hailing service and vehicle leasing service.</v>
    <v>5084</v>
    <v>New York Stock Exchange</v>
    <v>XNYS</v>
    <v>XNYS</v>
    <v>No. 8 Songgang Road, Changxing Street, Cencun, Tianhe District, GUANGZHOU, GUANGDONG, 510640 CN</v>
    <v>28.16</v>
    <v>Automobiles &amp; Auto Parts</v>
    <v>Stock</v>
    <v>44648.999993217185</v>
    <v>59</v>
    <v>26.08</v>
    <v>23170410000</v>
    <v>XPENG INC.</v>
    <v>XPENG INC.</v>
    <v>27.38</v>
    <v>0</v>
    <v>27.05</v>
    <v>27.13</v>
    <v>428207800</v>
    <v>XPEV</v>
    <v>XPENG INC. (XNYS:XPEV)</v>
    <v>95386</v>
    <v>16438734</v>
    <v>2018</v>
  </rv>
  <rv s="2">
    <v>459</v>
  </rv>
  <rv s="6">
    <v>en-US</v>
    <v>a1o3nm</v>
    <v>268435456</v>
    <v>1</v>
    <v>Powered by Refinitiv</v>
    <v>11</v>
    <v>ALTERYX, INC. (XNYS:AYX)</v>
    <v>2</v>
    <v>12</v>
    <v>Finance</v>
    <v>17</v>
    <v>90.57</v>
    <v>49.67</v>
    <v>0.64670000000000005</v>
    <v>1.93</v>
    <v>2.7869999999999999E-2</v>
    <v>USD</v>
    <v>Alteryx Inc. is a self-service data analytics software company that provides a subscription-based platform, enabling organizations to prepare, blend and analyze data from multitude sources and ease data-driven decisions. The Company’s platform is comprised of Alteryx Designer, Alteryx Server, Alteryx Connect, Alteryx Promote and Alteryx Intelligence Suite. The Company democratizes access to data-driven insights to all data workers, business analysts, programmers and data scientists by expanding the capabilities and analytical sophistications. The Company’s platform allows business analysts to view underlying data, meta-data and applied analytics at any stage during the process. The Company’s platform is designed to interact with a wide variety of traditional data sources. Its platform is also capable of processing data from cloud applications, such as Google Analytics, Marketo, NetSuite, salesforce.com, and Workday, as well as social media platforms, such as Facebook and Twitter.</v>
    <v>2000</v>
    <v>New York Stock Exchange</v>
    <v>XNYS</v>
    <v>XNYS</v>
    <v>17200 LAGUNA CANYON ROAD, IRVINE, CA, 92618 US</v>
    <v>71.22</v>
    <v>Software &amp; IT Services</v>
    <v>Stock</v>
    <v>44648.958333356248</v>
    <v>50</v>
    <v>68.69</v>
    <v>4814377458</v>
    <v>ALTERYX, INC.</v>
    <v>ALTERYX, INC.</v>
    <v>69.59</v>
    <v>0</v>
    <v>69.25</v>
    <v>71.180000000000007</v>
    <v>67636660</v>
    <v>AYX</v>
    <v>ALTERYX, INC. (XNYS:AYX)</v>
    <v>704352</v>
    <v>1040051</v>
    <v>2011</v>
  </rv>
  <rv s="2">
    <v>461</v>
  </rv>
  <rv s="0">
    <v>https://www.bing.com/financeapi/forcetrigger?t=a3oxnm&amp;q=NASDAQ+Composite+Index&amp;form=skydnc</v>
    <v>Learn more on Bing</v>
  </rv>
  <rv s="25">
    <v>en-US</v>
    <v>a3oxnm</v>
    <v>268435456</v>
    <v>1</v>
    <v>Powered by Refinitiv</v>
    <v>56</v>
    <v>NASDAQ Composite Index</v>
    <v>27</v>
    <v>57</v>
    <v>Finance</v>
    <v>58</v>
    <v>16212.228999999999</v>
    <v>12555.35</v>
    <v>185.602</v>
    <v>1.3099000000000001E-2</v>
    <v>US</v>
    <v>14356.001</v>
    <v>Index</v>
    <v>463</v>
    <v>14101.337</v>
    <v>NASDAQ Composite Index</v>
    <v>14177.208000000001</v>
    <v>14169.3</v>
    <v>14354.902</v>
    <v>COMP</v>
    <v>NASDAQ Composite Index</v>
  </rv>
  <rv s="2">
    <v>464</v>
  </rv>
</rvData>
</file>

<file path=xl/richData/rdrichvaluestructure.xml><?xml version="1.0" encoding="utf-8"?>
<rvStructures xmlns="http://schemas.microsoft.com/office/spreadsheetml/2017/richdata" count="2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1">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1">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Image</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59">
    <spb s="0">
      <v>0</v>
      <v>Name</v>
      <v>LearnMoreOnLink</v>
    </spb>
    <spb s="1">
      <v>0</v>
      <v>0</v>
      <v>0</v>
    </spb>
    <spb s="2">
      <v>1</v>
      <v>1</v>
      <v>1</v>
      <v>1</v>
    </spb>
    <spb s="3">
      <v>1</v>
      <v>2</v>
      <v>1</v>
      <v>3</v>
      <v>1</v>
      <v>1</v>
      <v>1</v>
      <v>4</v>
      <v>4</v>
      <v>5</v>
      <v>6</v>
      <v>1</v>
      <v>1</v>
      <v>1</v>
      <v>4</v>
      <v>7</v>
      <v>8</v>
      <v>9</v>
      <v>4</v>
      <v>1</v>
      <v>1</v>
      <v>5</v>
    </spb>
    <spb s="4">
      <v>at close</v>
      <v>from previous close</v>
      <v>from previous close</v>
      <v>GMT</v>
      <v>Delayed 15 minutes</v>
      <v>from close</v>
      <v>from close</v>
    </spb>
    <spb s="0">
      <v>1</v>
      <v>Name</v>
      <v>LearnMoreOnLink</v>
    </spb>
    <spb s="5">
      <v>0</v>
      <v>0</v>
    </spb>
    <spb s="6">
      <v>6</v>
      <v>1</v>
      <v>1</v>
      <v>1</v>
      <v>1</v>
    </spb>
    <spb s="7">
      <v>10</v>
      <v>2</v>
      <v>2</v>
      <v>10</v>
      <v>3</v>
      <v>10</v>
      <v>11</v>
      <v>10</v>
      <v>10</v>
      <v>4</v>
      <v>4</v>
      <v>5</v>
      <v>12</v>
      <v>10</v>
      <v>10</v>
      <v>10</v>
      <v>4</v>
      <v>7</v>
      <v>8</v>
      <v>9</v>
      <v>4</v>
    </spb>
    <spb s="8">
      <v>Real-Time Nasdaq Last Sale</v>
      <v>from previous close</v>
      <v>from previous close</v>
      <v>Source: Nasdaq Last Sale</v>
      <v>GMT</v>
    </spb>
    <spb s="9">
      <v>Powered by Refinitiv</v>
    </spb>
    <spb s="0">
      <v>2</v>
      <v>Name</v>
      <v>LearnMoreOnLink</v>
    </spb>
    <spb s="10">
      <v>10</v>
      <v>2</v>
      <v>2</v>
      <v>10</v>
      <v>3</v>
      <v>10</v>
      <v>10</v>
      <v>10</v>
      <v>4</v>
      <v>4</v>
      <v>5</v>
      <v>12</v>
      <v>10</v>
      <v>10</v>
      <v>10</v>
      <v>4</v>
      <v>7</v>
      <v>8</v>
      <v>9</v>
      <v>4</v>
    </spb>
    <spb s="0">
      <v>3</v>
      <v>Name</v>
      <v>LearnMoreOnLink</v>
    </spb>
    <spb s="11">
      <v>1</v>
      <v>2</v>
      <v>2</v>
      <v>1</v>
      <v>3</v>
      <v>1</v>
      <v>1</v>
      <v>1</v>
      <v>4</v>
      <v>4</v>
      <v>5</v>
      <v>6</v>
      <v>1</v>
      <v>1</v>
      <v>1</v>
      <v>4</v>
      <v>7</v>
      <v>8</v>
      <v>9</v>
      <v>4</v>
      <v>1</v>
      <v>1</v>
      <v>5</v>
    </spb>
    <spb s="10">
      <v>13</v>
      <v>2</v>
      <v>2</v>
      <v>13</v>
      <v>3</v>
      <v>13</v>
      <v>13</v>
      <v>13</v>
      <v>4</v>
      <v>4</v>
      <v>5</v>
      <v>12</v>
      <v>13</v>
      <v>13</v>
      <v>13</v>
      <v>4</v>
      <v>7</v>
      <v>8</v>
      <v>9</v>
      <v>4</v>
    </spb>
    <spb s="12">
      <v>Delayed 15 minutes</v>
      <v>from previous close</v>
      <v>from previous close</v>
      <v>GMT</v>
    </spb>
    <spb s="8">
      <v>Delayed 15 minutes</v>
      <v>from previous close</v>
      <v>from previous close</v>
      <v>Source: Nasdaq</v>
      <v>GMT</v>
    </spb>
    <spb s="0">
      <v>4</v>
      <v>Name</v>
      <v>LearnMoreOnLink</v>
    </spb>
    <spb s="13">
      <v>10</v>
      <v>10</v>
      <v>3</v>
      <v>10</v>
      <v>10</v>
      <v>10</v>
      <v>4</v>
      <v>4</v>
      <v>5</v>
      <v>12</v>
      <v>10</v>
      <v>10</v>
      <v>10</v>
      <v>4</v>
      <v>7</v>
      <v>9</v>
      <v>4</v>
    </spb>
    <spb s="0">
      <v>5</v>
      <v>Name</v>
      <v>LearnMoreOnLink</v>
    </spb>
    <spb s="14">
      <v>10</v>
      <v>2</v>
      <v>10</v>
      <v>3</v>
      <v>10</v>
      <v>10</v>
      <v>10</v>
      <v>4</v>
      <v>4</v>
      <v>5</v>
      <v>12</v>
      <v>10</v>
      <v>10</v>
      <v>10</v>
      <v>4</v>
      <v>7</v>
      <v>8</v>
      <v>9</v>
      <v>4</v>
    </spb>
    <spb s="0">
      <v>6</v>
      <v>Name</v>
      <v>LearnMoreOnLink</v>
    </spb>
    <spb s="15">
      <v>10</v>
      <v>10</v>
      <v>3</v>
      <v>10</v>
      <v>11</v>
      <v>10</v>
      <v>10</v>
      <v>4</v>
      <v>4</v>
      <v>5</v>
      <v>12</v>
      <v>10</v>
      <v>10</v>
      <v>10</v>
      <v>4</v>
      <v>7</v>
      <v>8</v>
      <v>9</v>
      <v>4</v>
    </spb>
    <spb s="0">
      <v>7</v>
      <v>Name</v>
      <v>LearnMoreOnLink</v>
    </spb>
    <spb s="16">
      <v>10</v>
      <v>2</v>
      <v>2</v>
      <v>10</v>
      <v>3</v>
      <v>10</v>
      <v>10</v>
      <v>10</v>
      <v>4</v>
      <v>4</v>
      <v>5</v>
      <v>12</v>
      <v>10</v>
      <v>10</v>
      <v>10</v>
      <v>4</v>
      <v>7</v>
      <v>9</v>
      <v>4</v>
    </spb>
    <spb s="0">
      <v>8</v>
      <v>Name</v>
      <v>LearnMoreOnLink</v>
    </spb>
    <spb s="17">
      <v>1</v>
      <v>1</v>
      <v>1</v>
    </spb>
    <spb s="18">
      <v>10</v>
      <v>2</v>
      <v>10</v>
      <v>3</v>
      <v>10</v>
      <v>10</v>
      <v>10</v>
      <v>4</v>
      <v>5</v>
      <v>12</v>
      <v>10</v>
      <v>10</v>
      <v>5</v>
      <v>10</v>
      <v>4</v>
      <v>7</v>
      <v>9</v>
    </spb>
    <spb s="19">
      <v>Delayed 15 minutes</v>
      <v>from previous close</v>
      <v>Source: Nasdaq</v>
      <v>from previous close</v>
      <v>GMT</v>
    </spb>
    <spb s="0">
      <v>9</v>
      <v>Name</v>
      <v>LearnMoreOnLink</v>
    </spb>
    <spb s="20">
      <v>10</v>
      <v>2</v>
      <v>10</v>
      <v>3</v>
      <v>10</v>
      <v>10</v>
      <v>10</v>
      <v>4</v>
      <v>4</v>
      <v>5</v>
      <v>12</v>
      <v>10</v>
      <v>10</v>
      <v>10</v>
      <v>4</v>
      <v>7</v>
      <v>9</v>
      <v>4</v>
    </spb>
    <spb s="0">
      <v>10</v>
      <v>Name</v>
      <v>LearnMoreOnLink</v>
    </spb>
    <spb s="21">
      <v>1</v>
      <v>1</v>
      <v>1</v>
      <v>1</v>
    </spb>
    <spb s="22">
      <v>14</v>
      <v>15</v>
      <v>15</v>
      <v>14</v>
      <v>3</v>
      <v>14</v>
      <v>14</v>
      <v>14</v>
      <v>16</v>
      <v>16</v>
      <v>5</v>
      <v>17</v>
      <v>14</v>
      <v>14</v>
      <v>14</v>
      <v>16</v>
      <v>7</v>
      <v>18</v>
      <v>19</v>
      <v>20</v>
      <v>16</v>
    </spb>
    <spb s="0">
      <v>11</v>
      <v>Name</v>
      <v>LearnMoreOnLink</v>
    </spb>
    <spb s="23">
      <v>10</v>
      <v>10</v>
      <v>3</v>
      <v>10</v>
      <v>10</v>
      <v>10</v>
      <v>4</v>
      <v>4</v>
      <v>5</v>
      <v>12</v>
      <v>10</v>
      <v>10</v>
      <v>10</v>
      <v>4</v>
      <v>7</v>
      <v>8</v>
      <v>9</v>
      <v>4</v>
      <v>10</v>
    </spb>
    <spb s="24">
      <v>at close</v>
      <v>from previous close</v>
      <v>from previous close</v>
      <v>Source: Nasdaq</v>
      <v>GMT</v>
      <v>Delayed 15 minutes</v>
    </spb>
    <spb s="0">
      <v>12</v>
      <v>Name</v>
      <v>LearnMoreOnLink</v>
    </spb>
    <spb s="25">
      <v>10</v>
      <v>2</v>
      <v>10</v>
      <v>3</v>
      <v>10</v>
      <v>10</v>
      <v>10</v>
      <v>4</v>
      <v>4</v>
      <v>5</v>
      <v>6</v>
      <v>10</v>
      <v>10</v>
      <v>10</v>
      <v>4</v>
      <v>7</v>
      <v>8</v>
      <v>9</v>
      <v>4</v>
    </spb>
    <spb s="0">
      <v>13</v>
      <v>Name</v>
      <v>LearnMoreOnLink</v>
    </spb>
    <spb s="26">
      <v>10</v>
      <v>2</v>
      <v>10</v>
      <v>3</v>
      <v>10</v>
      <v>10</v>
      <v>10</v>
      <v>4</v>
      <v>4</v>
      <v>5</v>
      <v>12</v>
      <v>10</v>
      <v>10</v>
      <v>10</v>
      <v>4</v>
      <v>7</v>
      <v>9</v>
      <v>4</v>
    </spb>
    <spb s="0">
      <v>14</v>
      <v>Name</v>
      <v>LearnMoreOnLink</v>
    </spb>
    <spb s="27">
      <v>10</v>
      <v>2</v>
      <v>10</v>
      <v>3</v>
      <v>10</v>
      <v>11</v>
      <v>10</v>
      <v>10</v>
      <v>4</v>
      <v>4</v>
      <v>5</v>
      <v>12</v>
      <v>10</v>
      <v>10</v>
      <v>10</v>
      <v>4</v>
      <v>7</v>
      <v>9</v>
      <v>4</v>
    </spb>
    <spb s="0">
      <v>15</v>
      <v>Name</v>
      <v>LearnMoreOnLink</v>
    </spb>
    <spb s="28">
      <v>21</v>
      <v>2</v>
      <v>21</v>
      <v>3</v>
      <v>21</v>
      <v>21</v>
      <v>21</v>
      <v>4</v>
      <v>4</v>
      <v>5</v>
      <v>12</v>
      <v>21</v>
      <v>4</v>
      <v>7</v>
      <v>8</v>
      <v>9</v>
      <v>4</v>
    </spb>
    <spb s="0">
      <v>16</v>
      <v>Name</v>
      <v>LearnMoreOnLink</v>
    </spb>
    <spb s="29">
      <v>10</v>
      <v>2</v>
      <v>10</v>
      <v>3</v>
      <v>10</v>
      <v>11</v>
      <v>10</v>
      <v>10</v>
      <v>4</v>
      <v>4</v>
      <v>5</v>
      <v>12</v>
      <v>10</v>
      <v>10</v>
      <v>10</v>
      <v>4</v>
      <v>7</v>
      <v>8</v>
      <v>9</v>
      <v>4</v>
    </spb>
    <spb s="0">
      <v>17</v>
      <v>Name</v>
      <v>LearnMoreOnLink</v>
    </spb>
    <spb s="30">
      <v>10</v>
      <v>2</v>
      <v>2</v>
      <v>10</v>
      <v>3</v>
      <v>10</v>
      <v>11</v>
      <v>10</v>
      <v>10</v>
      <v>4</v>
      <v>4</v>
      <v>5</v>
      <v>12</v>
      <v>10</v>
      <v>10</v>
      <v>10</v>
      <v>4</v>
      <v>7</v>
      <v>8</v>
      <v>9</v>
      <v>4</v>
      <v>10</v>
    </spb>
    <spb s="25">
      <v>22</v>
      <v>2</v>
      <v>22</v>
      <v>3</v>
      <v>22</v>
      <v>22</v>
      <v>22</v>
      <v>4</v>
      <v>4</v>
      <v>5</v>
      <v>23</v>
      <v>22</v>
      <v>22</v>
      <v>22</v>
      <v>4</v>
      <v>7</v>
      <v>8</v>
      <v>9</v>
      <v>4</v>
    </spb>
    <spb s="0">
      <v>18</v>
      <v>Name</v>
      <v>LearnMoreOnLink</v>
    </spb>
    <spb s="31">
      <v>10</v>
      <v>2</v>
      <v>10</v>
      <v>3</v>
      <v>10</v>
      <v>10</v>
      <v>10</v>
      <v>4</v>
      <v>4</v>
      <v>5</v>
      <v>12</v>
      <v>10</v>
      <v>10</v>
      <v>10</v>
      <v>4</v>
      <v>7</v>
      <v>9</v>
      <v>4</v>
      <v>10</v>
    </spb>
    <spb s="0">
      <v>19</v>
      <v>Name</v>
      <v>LearnMoreOnLink</v>
    </spb>
    <spb s="32">
      <v>10</v>
      <v>2</v>
      <v>10</v>
      <v>3</v>
      <v>10</v>
      <v>10</v>
      <v>10</v>
      <v>4</v>
      <v>4</v>
      <v>5</v>
      <v>12</v>
      <v>10</v>
      <v>10</v>
      <v>10</v>
      <v>4</v>
      <v>7</v>
      <v>8</v>
      <v>9</v>
      <v>4</v>
      <v>10</v>
    </spb>
    <spb s="20">
      <v>22</v>
      <v>2</v>
      <v>22</v>
      <v>3</v>
      <v>22</v>
      <v>22</v>
      <v>22</v>
      <v>4</v>
      <v>4</v>
      <v>5</v>
      <v>23</v>
      <v>22</v>
      <v>22</v>
      <v>22</v>
      <v>4</v>
      <v>7</v>
      <v>9</v>
      <v>4</v>
    </spb>
    <spb s="0">
      <v>20</v>
      <v>Name</v>
      <v>LearnMoreOnLink</v>
    </spb>
    <spb s="33">
      <v>10</v>
      <v>10</v>
      <v>3</v>
      <v>10</v>
      <v>10</v>
      <v>10</v>
      <v>5</v>
      <v>10</v>
      <v>10</v>
      <v>10</v>
      <v>9</v>
    </spb>
    <spb s="34">
      <v>from previous close</v>
      <v>from previous close</v>
    </spb>
  </spbData>
</supportingPropertyBags>
</file>

<file path=xl/richData/rdsupportingpropertybagstructure.xml><?xml version="1.0" encoding="utf-8"?>
<spbStructures xmlns="http://schemas.microsoft.com/office/spreadsheetml/2017/richdata2" count="35">
  <s>
    <k n="^Order" t="spba"/>
    <k n="TitleProperty" t="s"/>
    <k n="SubTitleProperty" t="s"/>
  </s>
  <s>
    <k n="ShowInCardView" t="b"/>
    <k n="ShowInDotNotation" t="b"/>
    <k n="ShowInAutoComplete" t="b"/>
  </s>
  <s>
    <k n="ExchangeID" t="spb"/>
    <k n="UniqueName" t="spb"/>
    <k n="`%ProviderInfo" t="spb"/>
    <k n="LearnMoreOnLink" t="spb"/>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s>
  <s>
    <k n="Low"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_DisplayString" t="i"/>
    <k n="Year incorporated" t="i"/>
    <k n="`%EntityServiceId" t="i"/>
    <k n="Shares outstanding" t="i"/>
  </s>
  <s>
    <k n="Low"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s>
  <s>
    <k n="Price" t="s"/>
    <k n="Change" t="s"/>
    <k n="Change (%)" t="s"/>
    <k n="ExchangeID" t="s"/>
    <k n="Last trade time" t="s"/>
    <k n="Price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Beta" t="i"/>
    <k n="High" t="i"/>
    <k n="Name" t="i"/>
    <k n="Open" t="i"/>
    <k n="Image"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4" formatCode="#,##0.00"/>
    </x:dxf>
    <x:dxf>
      <x:numFmt numFmtId="3" formatCode="#,##0"/>
    </x:dxf>
    <x:dxf>
      <x:numFmt numFmtId="14" formatCode="0.00%"/>
    </x:dxf>
    <x:dxf>
      <x:numFmt numFmtId="27" formatCode="yyyy/m/d\ h:mm"/>
    </x:dxf>
    <x:dxf>
      <x:numFmt numFmtId="1" formatCode="0"/>
    </x:dxf>
    <x:dxf>
      <x:numFmt numFmtId="2" formatCode="0.00"/>
    </x:dxf>
    <x:dxf>
      <x:numFmt numFmtId="165" formatCode="_([$$-409]* #,##0.00_);_([$$-409]* \(#,##0.00\);_([$$-409]* &quot;-&quot;??_);_(@_)"/>
    </x:dxf>
    <x:dxf>
      <x:numFmt numFmtId="164" formatCode="_ [$¥-804]* #,##0_ ;_ [$¥-804]* \-#,##0_ ;_ [$¥-804]* &quot;-&quot;_ ;_ @_ "/>
    </x:dxf>
    <x:dxf>
      <x:numFmt numFmtId="0" formatCode="General"/>
    </x:dxf>
  </dxfs>
  <richProperties>
    <rPr n="NumberFormat" t="s"/>
    <rPr n="IsTitleField" t="b"/>
    <rPr n="IsHeroField" t="b"/>
    <rPr n="ShouldShowInCell" t="b"/>
  </richProperties>
  <richStyles>
    <rSty dxfid="8">
      <rpv i="0">_-[$$-en-HK]* #,##0.00_-;-[$$-en-HK]* #,##0.00_-;_-[$$-en-HK]* "-"??_-;_-@_-</rpv>
    </rSty>
    <rSty dxfid="0">
      <rpv i="0">#,##0.00</rpv>
    </rSty>
    <rSty>
      <rpv i="1">1</rpv>
    </rSty>
    <rSty dxfid="1">
      <rpv i="0">#,##0</rpv>
    </rSty>
    <rSty dxfid="2"/>
    <rSty dxfid="8">
      <rpv i="0">_-[$$-en-HK]* #,##0_-;-[$$-en-HK]* #,##0_-;_-[$$-en-HK]* "-"_-;_-@_-</rpv>
    </rSty>
    <rSty dxfid="3"/>
    <rSty dxfid="4">
      <rpv i="0">0</rpv>
    </rSty>
    <rSty dxfid="5">
      <rpv i="0">0.00</rpv>
    </rSty>
    <rSty dxfid="8">
      <rpv i="0">_([$$-en-US]* #,##0.00_);_([$$-en-US]* (#,##0.00);_([$$-en-US]* "-"??_);_(@_)</rpv>
    </rSty>
    <rSty>
      <rpv i="2">1</rpv>
    </rSty>
    <rSty dxfid="8">
      <rpv i="0">_([$$-en-US]* #,##0_);_([$$-en-US]* (#,##0);_([$$-en-US]* "-"_);_(@_)</rpv>
    </rSty>
    <rSty dxfid="8">
      <rpv i="0">_-* #,##0.00 [$CHF-fr-CH]_-;-* #,##0.00 [$CHF-fr-CH]_-;_-* "-"?? [$CHF-fr-CH]_-;_-@_-</rpv>
    </rSty>
    <rSty dxfid="6"/>
    <rSty dxfid="0"/>
    <rSty dxfid="1"/>
    <rSty dxfid="7"/>
    <rSty>
      <rpv i="3">1</rpv>
    </rSty>
    <rSty dxfid="4"/>
    <rSty dxfid="5"/>
    <rSty dxfid="8">
      <rpv i="0">_([$€-x-euro2] * #,##0.00_);_([$€-x-euro2] * (#,##0.00);_([$€-x-euro2] * "-"??_);_(@_)</rpv>
    </rSty>
    <rSty dxfid="8">
      <rpv i="0">_-[$Rp-en-ID]* #,##0.00_-;-[$Rp-en-ID]* #,##0.00_-;_-[$Rp-en-ID]* "-"??_-;_-@_-</rpv>
    </rSty>
    <rSty dxfid="8">
      <rpv i="0">_-[$Rp-en-ID]* #,##0_-;-[$Rp-en-ID]* #,##0_-;_-[$Rp-en-ID]*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5E8B59-D88F-44A5-9AFE-70488751505A}" name="Table1" displayName="Table1" ref="B209:V224" totalsRowShown="0" headerRowDxfId="164" headerRowBorderDxfId="163" tableBorderDxfId="162" totalsRowBorderDxfId="161">
  <autoFilter ref="B209:V224" xr:uid="{5A94FBB4-0117-44EC-98DB-AE0BD1085965}"/>
  <sortState xmlns:xlrd2="http://schemas.microsoft.com/office/spreadsheetml/2017/richdata2" ref="B210:V225">
    <sortCondition ref="B209:B225"/>
  </sortState>
  <tableColumns count="21">
    <tableColumn id="1" xr3:uid="{B155496D-1E85-4FFE-869A-CD47DD5CC125}" name="No." dataDxfId="160"/>
    <tableColumn id="2" xr3:uid="{998495F4-A2FA-4D01-9F55-A9638AC28574}" name="Stock Name" dataDxfId="159"/>
    <tableColumn id="19" xr3:uid="{9F3B3CBE-96EF-4BE8-B73B-3D84741F9EAF}" name="Grade" dataDxfId="158"/>
    <tableColumn id="3" xr3:uid="{6087AFDB-2A78-492A-B7D0-17CF8A03DE09}" name="Market" dataDxfId="157"/>
    <tableColumn id="4" xr3:uid="{27271B3B-C3C6-488E-9402-1549594267E2}" name="Currency" dataDxfId="156"/>
    <tableColumn id="5" xr3:uid="{65415A1E-7663-4869-97DA-6D9937512C23}" name="Buy Price" dataDxfId="155" dataCellStyle="Comma [0]"/>
    <tableColumn id="6" xr3:uid="{8039DEA6-0A82-4A02-85F5-EDA3544148EF}" name="Quantity" dataDxfId="154" dataCellStyle="Comma [0]"/>
    <tableColumn id="7" xr3:uid="{D521F318-CEAA-47B7-8A5E-DA9647B5E5DE}" name="Fee" dataDxfId="153" dataCellStyle="Comma [0]">
      <calculatedColumnFormula>8.88*2</calculatedColumnFormula>
    </tableColumn>
    <tableColumn id="8" xr3:uid="{DE56E648-6C7A-4DFC-AB4F-93C3DB3FD0DF}" name="Average Price" dataDxfId="152" dataCellStyle="Comma [0]"/>
    <tableColumn id="9" xr3:uid="{550997E7-D6B0-4D7F-856D-09D2D3A38597}" name="Investment (USD)" dataDxfId="151" dataCellStyle="Comma [0]">
      <calculatedColumnFormula>J210*H210</calculatedColumnFormula>
    </tableColumn>
    <tableColumn id="10" xr3:uid="{86155592-DA41-41C3-B529-4298AF743850}" name="Current Price" dataDxfId="150" dataCellStyle="Comma [0]">
      <calculatedColumnFormula array="1">_FV(C210,"Price")</calculatedColumnFormula>
    </tableColumn>
    <tableColumn id="11" xr3:uid="{2DA359BC-E84E-4622-9FDF-D79F624800E0}" name="Book Gain/Loss" dataDxfId="149" dataCellStyle="Comma [0]"/>
    <tableColumn id="12" xr3:uid="{22E32E33-D430-4F08-90A3-B35D3C1536AD}" name="P/L %" dataDxfId="148" dataCellStyle="Percent">
      <calculatedColumnFormula>M210/K210</calculatedColumnFormula>
    </tableColumn>
    <tableColumn id="21" xr3:uid="{B9A22073-ACF7-4BB8-87CE-5D16A678F90B}" name="MarketBeat" dataDxfId="147" dataCellStyle="Comma"/>
    <tableColumn id="20" xr3:uid="{B46E9C7F-0614-4D0A-B82A-E8FB23736769}" name="TipRanks Low" dataDxfId="146" dataCellStyle="Comma"/>
    <tableColumn id="13" xr3:uid="{AADC92E3-D7C8-4A46-8547-AE5C0CD1E6E7}" name="Target Price" dataDxfId="145" dataCellStyle="Comma [0]"/>
    <tableColumn id="14" xr3:uid="{84B4618E-9673-4695-AED1-253DC6273671}" name="Target Gain" dataDxfId="144" dataCellStyle="Percent">
      <calculatedColumnFormula>Q210/J210-1</calculatedColumnFormula>
    </tableColumn>
    <tableColumn id="15" xr3:uid="{195A1137-92FB-4A17-B0B6-B08D38C26828}" name="Open Date" dataDxfId="143"/>
    <tableColumn id="16" xr3:uid="{2F00554F-86D6-4A4C-A91A-9A7470426D9A}" name="Portfolio" dataDxfId="142" dataCellStyle="Percent">
      <calculatedColumnFormula>K210/#REF!</calculatedColumnFormula>
    </tableColumn>
    <tableColumn id="17" xr3:uid="{5EF43F63-9F4F-4072-9143-10F7CFF22A27}" name="Overall" dataDxfId="141" dataCellStyle="Percent">
      <calculatedColumnFormula>K210/$D$3</calculatedColumnFormula>
    </tableColumn>
    <tableColumn id="18" xr3:uid="{BF5F28C1-9F3A-4802-8FE1-F2A5F9A2AF76}" name="Holding Days" dataDxfId="140" dataCellStyle="Comma">
      <calculatedColumnFormula>TODAY()-Table1[[#This Row],[Open 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8839ED-245F-477D-B162-7BA88A08D73F}" name="Table2" displayName="Table2" ref="B29:Q204" totalsRowCount="1" headerRowDxfId="139" totalsRowDxfId="136" headerRowBorderDxfId="138" tableBorderDxfId="137" totalsRowBorderDxfId="135">
  <autoFilter ref="B29:Q203" xr:uid="{158CD907-3416-4D6A-9E53-95D7834E99BC}"/>
  <sortState xmlns:xlrd2="http://schemas.microsoft.com/office/spreadsheetml/2017/richdata2" ref="B30:Q203">
    <sortCondition ref="B29:B203"/>
  </sortState>
  <tableColumns count="16">
    <tableColumn id="1" xr3:uid="{ED9F0CFE-5FFF-44CE-88C1-165282896661}" name="No." dataDxfId="134" totalsRowDxfId="15"/>
    <tableColumn id="2" xr3:uid="{9EEE3A45-4183-4BAF-815B-BC234243869C}" name="Stock Name" dataDxfId="133" totalsRowDxfId="14"/>
    <tableColumn id="3" xr3:uid="{3F6D45CE-5471-4666-8C47-FA596F0816E4}" name="Market" dataDxfId="132" totalsRowDxfId="13"/>
    <tableColumn id="4" xr3:uid="{1582525F-31A2-4BFE-9405-3131F695A2D6}" name="Currency" dataDxfId="131" totalsRowDxfId="12"/>
    <tableColumn id="5" xr3:uid="{C14B5EE1-6107-4191-A0BB-1972E9C65155}" name="Buy Price" dataDxfId="130" totalsRowDxfId="11" dataCellStyle="Comma [0]"/>
    <tableColumn id="6" xr3:uid="{7DF37515-C4C9-482F-B844-99E587653840}" name="Quantity" dataDxfId="129" totalsRowDxfId="10" dataCellStyle="Comma [0]"/>
    <tableColumn id="7" xr3:uid="{DC1D889A-4D08-499E-93F1-EB3D0BD93612}" name="Fee" totalsRowFunction="custom" dataDxfId="128" totalsRowDxfId="9" dataCellStyle="Comma [0]">
      <totalsRowFormula>SUM(H30:H69,(H70+H71+H110)/7.7,H72:H109:H111:H203)</totalsRowFormula>
    </tableColumn>
    <tableColumn id="8" xr3:uid="{A8222118-233A-4B01-B89E-CA3A815E0615}" name="Average Price" dataDxfId="127" totalsRowDxfId="8" dataCellStyle="Comma [0]"/>
    <tableColumn id="9" xr3:uid="{6FEEE9C3-8AD0-4F9F-A0E5-2B5051F69852}" name="Investment" dataDxfId="126" totalsRowDxfId="7" dataCellStyle="Comma [0]"/>
    <tableColumn id="10" xr3:uid="{0D68380F-3025-49EB-B47C-DBD4E6AEA6BE}" name="Current Price" dataDxfId="125" totalsRowDxfId="6" dataCellStyle="Comma [0]"/>
    <tableColumn id="11" xr3:uid="{FB3B0B30-9EC1-4102-B677-3D64775F5CC2}" name="Gain/Loss" totalsRowFunction="sum" dataDxfId="124" totalsRowDxfId="5" dataCellStyle="Comma [0]"/>
    <tableColumn id="12" xr3:uid="{24CDC0FF-3D3B-45D1-84A8-EAC0154D2B3B}" name="P/L %" dataDxfId="123" totalsRowDxfId="4" dataCellStyle="Percent"/>
    <tableColumn id="13" xr3:uid="{30BBCC2A-30C4-42C2-8224-AA8A300DB9B9}" name="Exit Price" totalsRowDxfId="3"/>
    <tableColumn id="15" xr3:uid="{881E012E-C357-49DC-ACCA-D2C28AF158C9}" name="Open Date" dataDxfId="122" totalsRowDxfId="2"/>
    <tableColumn id="16" xr3:uid="{8A10F37E-42A4-432A-A410-81F0E7D12575}" name="Close Date" dataDxfId="121" totalsRowDxfId="1"/>
    <tableColumn id="17" xr3:uid="{D84E36FD-886D-43B5-8E0E-13868A79EEFB}" name="Holding Days" dataDxfId="120" totalsRowDxfId="0">
      <calculatedColumnFormula>Table2[[#This Row],[Close Date]]-Table2[[#This Row],[Open 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12AAAA-29A8-4A51-A032-E013CF4D96A7}" name="Table3" displayName="Table3" ref="B308:I317" totalsRowShown="0" headerRowDxfId="119" headerRowBorderDxfId="118" tableBorderDxfId="117">
  <autoFilter ref="B308:I317" xr:uid="{DBBEE7AB-63C5-4BEC-B4C6-BAF90CB294ED}"/>
  <tableColumns count="8">
    <tableColumn id="1" xr3:uid="{6889A6BA-35A5-45DA-A6B1-9C41888B34AF}" name="No." dataDxfId="116"/>
    <tableColumn id="2" xr3:uid="{957205D0-842C-4CC8-881A-D380A11FDD87}" name="Stock Name" dataDxfId="115"/>
    <tableColumn id="3" xr3:uid="{F064BCEE-C777-47C8-88E9-55A04770439E}" name="Risk Profile" dataDxfId="114"/>
    <tableColumn id="4" xr3:uid="{A24340FB-7BB5-42E6-BBF2-F2610DE26C80}" name="Investment" dataDxfId="113" dataCellStyle="Comma"/>
    <tableColumn id="5" xr3:uid="{FD59B35C-8B51-4757-89FA-0D1FCDB71EE8}" name="Portfolio" dataDxfId="112" dataCellStyle="Percent">
      <calculatedColumnFormula>E309/$E$319</calculatedColumnFormula>
    </tableColumn>
    <tableColumn id="6" xr3:uid="{B1A2337A-76B9-437E-96EB-BB6C33D34D14}" name="Overall" dataDxfId="111" dataCellStyle="Percent">
      <calculatedColumnFormula>E309/$D$3</calculatedColumnFormula>
    </tableColumn>
    <tableColumn id="7" xr3:uid="{58B8F2B8-9FE0-489B-B02B-7FD7725B7D5B}" name="P/L" dataDxfId="110" dataCellStyle="Comma"/>
    <tableColumn id="8" xr3:uid="{814933A8-4436-4059-BFDF-0E41A651FE9F}" name="P/L %" dataDxfId="109" dataCellStyle="Percent">
      <calculatedColumnFormula>Table3[[#This Row],[P/L]]/Table3[[#This Row],[Investment]]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C0F0C1-2244-49FA-9B8C-9EAAF45612CA}" name="Table4" displayName="Table4" ref="K308:N353" totalsRowShown="0" headerRowBorderDxfId="108" tableBorderDxfId="107" totalsRowBorderDxfId="106">
  <autoFilter ref="K308:N353" xr:uid="{33941CCE-41C5-4110-845B-1283CD1A0966}"/>
  <sortState xmlns:xlrd2="http://schemas.microsoft.com/office/spreadsheetml/2017/richdata2" ref="K309:N353">
    <sortCondition descending="1" ref="M308:M353"/>
  </sortState>
  <tableColumns count="4">
    <tableColumn id="1" xr3:uid="{DED5D8B9-D27B-4813-99B2-30B183A95FCF}" name="No." dataDxfId="105"/>
    <tableColumn id="2" xr3:uid="{429518D0-BD07-4210-8F82-D0AAE018DC68}" name="Stock Name" dataDxfId="104"/>
    <tableColumn id="3" xr3:uid="{4A0E3B18-2DD1-4A2B-B89B-50E4F8FE5597}" name="P/L" dataDxfId="103" dataCellStyle="Comma"/>
    <tableColumn id="4" xr3:uid="{83BFA291-E028-427F-B8BE-111A79697A2F}" name="Location" dataDxfId="10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783499-67C3-4299-82CA-79C7CA85648A}" name="Table18" displayName="Table18" ref="B217:U229" totalsRowShown="0" headerRowDxfId="101" headerRowBorderDxfId="100" tableBorderDxfId="99" totalsRowBorderDxfId="98">
  <autoFilter ref="B217:U229" xr:uid="{5A94FBB4-0117-44EC-98DB-AE0BD1085965}"/>
  <sortState xmlns:xlrd2="http://schemas.microsoft.com/office/spreadsheetml/2017/richdata2" ref="B218:U230">
    <sortCondition ref="B217:B230"/>
  </sortState>
  <tableColumns count="20">
    <tableColumn id="1" xr3:uid="{30B42A2F-AFC2-4CDD-AAC8-F46ABEE8E9B3}" name="No." dataDxfId="97"/>
    <tableColumn id="2" xr3:uid="{A1DDB2F7-A31A-4749-B673-B351E3AE8748}" name="Stock Name" dataDxfId="96"/>
    <tableColumn id="19" xr3:uid="{1CE06D43-BAE4-4014-9A76-539620AF36A0}" name="Grade" dataDxfId="95"/>
    <tableColumn id="3" xr3:uid="{6D888605-D36A-4723-874E-AD8F41745941}" name="Market" dataDxfId="94"/>
    <tableColumn id="4" xr3:uid="{97FC3F38-A503-4B37-A687-1779811749F5}" name="Currency" dataDxfId="93"/>
    <tableColumn id="5" xr3:uid="{5D5C3386-D8FF-4006-B39A-0FC54DD15FC2}" name="Buy Price" dataDxfId="92" dataCellStyle="Comma [0]"/>
    <tableColumn id="6" xr3:uid="{969EC50D-8787-4238-929F-21AC3B1A573B}" name="Quantity" dataDxfId="91" dataCellStyle="Comma [0]"/>
    <tableColumn id="7" xr3:uid="{2E5F5A43-17A0-4926-BA44-F6D392C06293}" name="Fee" dataDxfId="90" dataCellStyle="Comma [0]">
      <calculatedColumnFormula>8.88*2</calculatedColumnFormula>
    </tableColumn>
    <tableColumn id="8" xr3:uid="{AC571BF9-27FA-44BF-8382-A4909DA5EE7A}" name="Average Price" dataDxfId="89" dataCellStyle="Comma [0]"/>
    <tableColumn id="9" xr3:uid="{F9BA3C44-180E-4324-88E3-8CCAEA75B803}" name="Investment (USD)" dataDxfId="88" dataCellStyle="Comma [0]">
      <calculatedColumnFormula>J218*H218</calculatedColumnFormula>
    </tableColumn>
    <tableColumn id="10" xr3:uid="{DAD3F0B7-B907-46DC-9CDE-C43C305B3160}" name="Current Price" dataDxfId="87" dataCellStyle="Comma [0]">
      <calculatedColumnFormula array="1">_FV(C218,"Price")</calculatedColumnFormula>
    </tableColumn>
    <tableColumn id="11" xr3:uid="{0A538124-114A-4FDA-8937-6CFA71072D92}" name="Book Gain/Loss" dataDxfId="86" dataCellStyle="Comma [0]"/>
    <tableColumn id="12" xr3:uid="{8C4AEBF0-A819-40B6-8B94-B198B8A57240}" name="P/L %" dataDxfId="85" dataCellStyle="Percent">
      <calculatedColumnFormula>M218/K218</calculatedColumnFormula>
    </tableColumn>
    <tableColumn id="21" xr3:uid="{369C4476-9983-4C74-9C92-68BA5E3E5520}" name="MarketBeat" dataDxfId="84" dataCellStyle="Comma"/>
    <tableColumn id="20" xr3:uid="{516D51CD-A199-4863-881F-7D7CB89C4436}" name="TipRanks Low" dataDxfId="83" dataCellStyle="Comma"/>
    <tableColumn id="13" xr3:uid="{0B3F80F5-6F57-4A57-9AB1-8A41D7BC9895}" name="Target Price" dataDxfId="82" dataCellStyle="Comma [0]">
      <calculatedColumnFormula>ROUNDUP((Table1[[#This Row],[Average Price]]+(50*Table1[[#This Row],[Holding Days]])/Table1[[#This Row],[Quantity]]),0)</calculatedColumnFormula>
    </tableColumn>
    <tableColumn id="14" xr3:uid="{49B646E3-391A-4289-9667-4BCAB95FE2C9}" name="Target Gain" dataDxfId="81" dataCellStyle="Percent">
      <calculatedColumnFormula>Q218/J218-1</calculatedColumnFormula>
    </tableColumn>
    <tableColumn id="15" xr3:uid="{BE94EBEC-454F-4889-B1F7-D149378163D9}" name="Open Date" dataDxfId="80"/>
    <tableColumn id="16" xr3:uid="{4649FB4A-8826-4B55-B910-35F6B501DBB7}" name="Portfolio" dataDxfId="79" dataCellStyle="Percent">
      <calculatedColumnFormula>K218/$K$230</calculatedColumnFormula>
    </tableColumn>
    <tableColumn id="18" xr3:uid="{99147A11-8530-46C4-8D97-A2B4762F3868}" name="Holding Days" dataDxfId="78" dataCellStyle="Comma">
      <calculatedColumnFormula>TODAY()-Table18[[#This Row],[Open Date]]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DBF267-9EB1-4E0C-9EDB-5838832B115A}" name="Table29" displayName="Table29" ref="B19:Q212" totalsRowCount="1" headerRowDxfId="77" totalsRowDxfId="74" headerRowBorderDxfId="76" tableBorderDxfId="75" totalsRowBorderDxfId="73">
  <autoFilter ref="B19:Q211" xr:uid="{158CD907-3416-4D6A-9E53-95D7834E99BC}"/>
  <sortState xmlns:xlrd2="http://schemas.microsoft.com/office/spreadsheetml/2017/richdata2" ref="B20:Q211">
    <sortCondition ref="B19:B211"/>
  </sortState>
  <tableColumns count="16">
    <tableColumn id="1" xr3:uid="{CB2D0A0E-774C-4F3F-8948-096CA3986CFA}" name="No." dataDxfId="72" totalsRowDxfId="71"/>
    <tableColumn id="2" xr3:uid="{B712E202-F345-46C5-9AA1-C2DC3E706ECF}" name="Stock Name" dataDxfId="70" totalsRowDxfId="69"/>
    <tableColumn id="3" xr3:uid="{1BEC4185-7A01-49C7-9096-1E644F09FA1B}" name="Market" dataDxfId="68" totalsRowDxfId="67"/>
    <tableColumn id="4" xr3:uid="{8EF092F4-3D55-4D26-9500-12FE05AD9819}" name="Currency" dataDxfId="66" totalsRowDxfId="65"/>
    <tableColumn id="5" xr3:uid="{F1C0FBBE-01DA-45CF-9FDE-91DE88E6B244}" name="Buy Price" dataDxfId="64" totalsRowDxfId="63" dataCellStyle="Comma [0]"/>
    <tableColumn id="6" xr3:uid="{2839BCC9-D9ED-4D4C-AF04-E83CB117CD97}" name="Quantity" dataDxfId="62" totalsRowDxfId="61" dataCellStyle="Comma [0]"/>
    <tableColumn id="7" xr3:uid="{2BC0D45D-2F81-4516-AC4A-FE4556680552}" name="Fee" totalsRowFunction="sum" dataDxfId="60" totalsRowDxfId="59" dataCellStyle="Comma [0]"/>
    <tableColumn id="8" xr3:uid="{D2E76CE9-1B93-48F0-96FC-6E06F2EB605F}" name="Average Price" dataDxfId="58" totalsRowDxfId="57" dataCellStyle="Comma [0]"/>
    <tableColumn id="9" xr3:uid="{C3A0558A-897D-4E35-96E6-16FE006AEFDE}" name="Investment" dataDxfId="56" totalsRowDxfId="55" dataCellStyle="Comma [0]"/>
    <tableColumn id="10" xr3:uid="{49D10371-322D-485E-A2F6-16CAABA9EE45}" name="Current Price" dataDxfId="54" totalsRowDxfId="53" dataCellStyle="Comma [0]"/>
    <tableColumn id="11" xr3:uid="{3571E286-A2C3-4BBF-97DD-9BA9168AF404}" name="Gain/Loss" totalsRowFunction="sum" dataDxfId="52" totalsRowDxfId="51" dataCellStyle="Comma [0]"/>
    <tableColumn id="12" xr3:uid="{21219DCA-6914-42DA-89F6-96B31BF57714}" name="P/L %" dataDxfId="50" totalsRowDxfId="49" dataCellStyle="Percent"/>
    <tableColumn id="13" xr3:uid="{BCA51DDF-36B1-4D23-A96E-F5D2CD9708EE}" name="Exit Price" totalsRowDxfId="48"/>
    <tableColumn id="15" xr3:uid="{D2EA24B3-0374-4349-AAEA-BD3EAFE4248F}" name="Open Date" dataDxfId="47" totalsRowDxfId="46"/>
    <tableColumn id="16" xr3:uid="{6AD1582D-EF67-4570-86C2-29963D6718C8}" name="Close Date" dataDxfId="45" totalsRowDxfId="44"/>
    <tableColumn id="17" xr3:uid="{59BDC10A-151B-49F0-862C-F3E9BA6BF281}" name="Holding Days" dataDxfId="43" totalsRowDxfId="42">
      <calculatedColumnFormula>Table29[[#This Row],[Close Date]]-Table29[[#This Row],[Open Date]]</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B68149-EA6B-490B-A0C8-C7747E663CC4}" name="Table46" displayName="Table46" ref="M134:P149" totalsRowShown="0" headerRowBorderDxfId="41" tableBorderDxfId="40" totalsRowBorderDxfId="39">
  <autoFilter ref="M134:P149" xr:uid="{94D4877F-E743-479B-94E4-7A45493033FF}"/>
  <sortState xmlns:xlrd2="http://schemas.microsoft.com/office/spreadsheetml/2017/richdata2" ref="M135:P149">
    <sortCondition descending="1" ref="O134:O149"/>
  </sortState>
  <tableColumns count="4">
    <tableColumn id="1" xr3:uid="{10F91B08-049D-4010-99EC-FAE61A919289}" name="No." dataDxfId="38"/>
    <tableColumn id="2" xr3:uid="{DFF9A466-A701-4DE3-B5D6-1EF2CEA7941D}" name="Stock Name" dataDxfId="37"/>
    <tableColumn id="3" xr3:uid="{7734E476-46F9-4231-BE73-30A0BCD8365C}" name="P/L" dataDxfId="36" dataCellStyle="Comma"/>
    <tableColumn id="4" xr3:uid="{D9E99E7D-6AF1-47FD-91A5-B4B23321AE9B}" name="Location" dataDxfId="3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3E4394-32DA-4554-A557-D50DC1295A33}" name="Table6" displayName="Table6" ref="C3:R128" totalsRowShown="0" headerRowBorderDxfId="34" tableBorderDxfId="33" totalsRowBorderDxfId="32">
  <autoFilter ref="C3:R128" xr:uid="{FA8D0163-D612-4DE7-8A98-A8854C96A47A}"/>
  <sortState xmlns:xlrd2="http://schemas.microsoft.com/office/spreadsheetml/2017/richdata2" ref="C4:R128">
    <sortCondition ref="C3:C128"/>
  </sortState>
  <tableColumns count="16">
    <tableColumn id="1" xr3:uid="{4A33C47B-3ECA-4981-B1CD-62C1EFFEE684}" name="No." dataDxfId="31"/>
    <tableColumn id="2" xr3:uid="{9C5F7687-83F1-4659-B360-97D81534F93E}" name="Date" dataDxfId="30"/>
    <tableColumn id="3" xr3:uid="{736C1B05-159F-4BB5-9D0B-124999486BC0}" name="Stock" dataDxfId="29"/>
    <tableColumn id="4" xr3:uid="{27A26AB3-E969-4460-AA07-8C8E80281B13}" name="Currency" dataDxfId="28"/>
    <tableColumn id="5" xr3:uid="{1AFED4D7-7AB0-467B-B86A-ACB1E152D760}" name="Grade" dataDxfId="27"/>
    <tableColumn id="6" xr3:uid="{0FE80DFD-F17C-46CF-A658-22CD3DA588EA}" name="Buy" dataDxfId="26" dataCellStyle="Comma [0]"/>
    <tableColumn id="7" xr3:uid="{2EAB56C3-E815-45A7-9D7C-55842F4B0544}" name="Quantity" dataDxfId="25" dataCellStyle="Comma [0]"/>
    <tableColumn id="8" xr3:uid="{27C9890C-BF22-4246-8B76-E18C6878B69E}" name="Fee" dataDxfId="24" dataCellStyle="Comma [0]"/>
    <tableColumn id="9" xr3:uid="{4E12319C-6E35-4429-9BC9-C3E20778E4FB}" name="Average Price" dataDxfId="23" dataCellStyle="Comma [0]"/>
    <tableColumn id="10" xr3:uid="{B87F1D1C-685D-4239-9E93-BE1E5D37BD9E}" name="Total Investment" dataDxfId="22" dataCellStyle="Comma [0]"/>
    <tableColumn id="11" xr3:uid="{5A7F537D-1B30-4130-8349-0032C5B93371}" name="Sell Price" dataDxfId="21" dataCellStyle="Comma [0]"/>
    <tableColumn id="12" xr3:uid="{576299C2-B711-475E-8E3A-764C808972B0}" name="Gain" dataDxfId="20" dataCellStyle="Comma"/>
    <tableColumn id="13" xr3:uid="{19E0F116-529E-4315-9E3C-88927DF8F029}" name="P %" dataDxfId="19" dataCellStyle="Percent"/>
    <tableColumn id="14" xr3:uid="{EE8B0204-1015-48BC-9AA5-6A7E4B2D7F69}" name="Stop Price" dataDxfId="18" dataCellStyle="Comma [0]"/>
    <tableColumn id="15" xr3:uid="{DF3089C3-F5A1-4FCC-AD12-7FA54BD0611D}" name="Loss" dataDxfId="17" dataCellStyle="Comma"/>
    <tableColumn id="16" xr3:uid="{C5A6B05D-3889-4F80-9AC6-5068AF2B8B7D}" name="L %" dataDxfId="1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CDC5A99-E1B5-407F-BB18-5275D265A7C9}">
  <we:reference id="wa104380211" version="1.0.0.1" store="en-001" storeType="OMEX"/>
  <we:alternateReferences>
    <we:reference id="wa104380211" version="1.0.0.1" store="wa10438021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823B-C871-4828-A3EE-FC4F99E0EB85}">
  <dimension ref="B3:AC45"/>
  <sheetViews>
    <sheetView showGridLines="0" topLeftCell="D1" zoomScale="90" zoomScaleNormal="90" workbookViewId="0">
      <selection activeCell="AC35" sqref="AC35"/>
    </sheetView>
  </sheetViews>
  <sheetFormatPr defaultColWidth="9.140625" defaultRowHeight="15" x14ac:dyDescent="0.25"/>
  <cols>
    <col min="1" max="1" width="9.140625" style="39"/>
    <col min="2" max="2" width="14.7109375" style="39" bestFit="1" customWidth="1"/>
    <col min="3" max="3" width="15.140625" style="39" bestFit="1" customWidth="1"/>
    <col min="4" max="4" width="8.28515625" style="39" bestFit="1" customWidth="1"/>
    <col min="5" max="5" width="14.140625" style="39" bestFit="1" customWidth="1"/>
    <col min="6" max="7" width="16.28515625" style="39" bestFit="1" customWidth="1"/>
    <col min="8" max="8" width="8.42578125" style="39" bestFit="1" customWidth="1"/>
    <col min="9" max="9" width="8.85546875" style="39" bestFit="1" customWidth="1"/>
    <col min="10" max="12" width="8.42578125" style="39" bestFit="1" customWidth="1"/>
    <col min="13" max="13" width="8.28515625" style="39" bestFit="1" customWidth="1"/>
    <col min="14" max="14" width="12.7109375" style="39" bestFit="1" customWidth="1"/>
    <col min="15" max="15" width="10.85546875" style="39" bestFit="1" customWidth="1"/>
    <col min="16" max="17" width="8.28515625" style="39" bestFit="1" customWidth="1"/>
    <col min="18" max="18" width="11.7109375" style="39" bestFit="1" customWidth="1"/>
    <col min="19" max="19" width="8.28515625" style="39" bestFit="1" customWidth="1"/>
    <col min="20" max="20" width="8.7109375" style="39" bestFit="1" customWidth="1"/>
    <col min="21" max="26" width="8.42578125" style="39" bestFit="1" customWidth="1"/>
    <col min="27" max="27" width="9.140625" style="39"/>
    <col min="28" max="28" width="7.140625" style="39" bestFit="1" customWidth="1"/>
    <col min="29" max="16384" width="9.140625" style="39"/>
  </cols>
  <sheetData>
    <row r="3" spans="2:28" x14ac:dyDescent="0.25">
      <c r="B3" s="46"/>
      <c r="C3" s="547" t="s">
        <v>29</v>
      </c>
      <c r="D3" s="562" t="s">
        <v>437</v>
      </c>
      <c r="E3" s="547" t="s">
        <v>225</v>
      </c>
      <c r="F3" s="547" t="s">
        <v>226</v>
      </c>
      <c r="G3" s="547" t="s">
        <v>424</v>
      </c>
      <c r="H3" s="547" t="s">
        <v>423</v>
      </c>
      <c r="I3" s="547" t="s">
        <v>5</v>
      </c>
      <c r="J3" s="547" t="s">
        <v>425</v>
      </c>
      <c r="K3" s="547" t="s">
        <v>19</v>
      </c>
      <c r="M3" s="573" t="s">
        <v>40</v>
      </c>
      <c r="N3" s="574"/>
      <c r="O3" s="570" t="s">
        <v>285</v>
      </c>
      <c r="P3" s="571"/>
      <c r="Q3" s="571"/>
      <c r="R3" s="571"/>
      <c r="S3" s="571"/>
      <c r="T3" s="572"/>
    </row>
    <row r="4" spans="2:28" x14ac:dyDescent="0.25">
      <c r="B4" s="46" t="s">
        <v>421</v>
      </c>
      <c r="C4" s="560">
        <f>'SG Portfolio'!D11</f>
        <v>-33411.634383730474</v>
      </c>
      <c r="D4" s="77">
        <f>C4/I4</f>
        <v>-1.3361683361730026</v>
      </c>
      <c r="E4" s="554">
        <f>'SG Portfolio'!D4</f>
        <v>23110</v>
      </c>
      <c r="F4" s="554">
        <f>'SG Portfolio'!G3</f>
        <v>6662.843693192608</v>
      </c>
      <c r="G4" s="554">
        <f>'SG Portfolio'!M225</f>
        <v>-4767.2860256410204</v>
      </c>
      <c r="H4" s="554">
        <f>'SG Portfolio'!G5</f>
        <v>6156.7366679405659</v>
      </c>
      <c r="I4" s="559">
        <f>SUM(E4:G4)</f>
        <v>25005.557667551588</v>
      </c>
      <c r="J4" s="559">
        <f>I4-E4</f>
        <v>1895.5576675515877</v>
      </c>
      <c r="K4" s="550">
        <f>J4/E4</f>
        <v>8.2023265579904275E-2</v>
      </c>
      <c r="M4" s="528">
        <f>N4/E6</f>
        <v>0.19166666666666668</v>
      </c>
      <c r="N4" s="531">
        <f>E6*COUNT(D11:Z11)/12*M5</f>
        <v>6250.25</v>
      </c>
      <c r="O4" s="54" t="s">
        <v>400</v>
      </c>
      <c r="P4" s="430">
        <v>3244.67</v>
      </c>
      <c r="Q4" s="248"/>
      <c r="R4" s="54" t="s">
        <v>415</v>
      </c>
      <c r="S4" s="430">
        <v>2192</v>
      </c>
      <c r="T4" s="553" t="s">
        <v>288</v>
      </c>
    </row>
    <row r="5" spans="2:28" x14ac:dyDescent="0.25">
      <c r="B5" s="46" t="s">
        <v>422</v>
      </c>
      <c r="C5" s="564">
        <f>'FUTU Portfolio'!D13</f>
        <v>5239.2215128205235</v>
      </c>
      <c r="D5" s="77">
        <f t="shared" ref="D5:D6" si="0">C5/I5</f>
        <v>1</v>
      </c>
      <c r="E5" s="554">
        <f>'FUTU Portfolio'!D6</f>
        <v>9500</v>
      </c>
      <c r="F5" s="554">
        <f>'FUTU Portfolio'!G5</f>
        <v>-4260.7784871794765</v>
      </c>
      <c r="G5" s="554">
        <f>'FUTU Portfolio'!M230</f>
        <v>0</v>
      </c>
      <c r="H5" s="554">
        <f>'FUTU Portfolio'!G7</f>
        <v>1249.2297435897428</v>
      </c>
      <c r="I5" s="563">
        <f>SUM(E5:G5)</f>
        <v>5239.2215128205235</v>
      </c>
      <c r="J5" s="554">
        <f>I5-E5</f>
        <v>-4260.7784871794765</v>
      </c>
      <c r="K5" s="561">
        <f t="shared" ref="K5:K6" si="1">J5/E5</f>
        <v>-0.44850299865047122</v>
      </c>
      <c r="M5" s="529">
        <v>0.1</v>
      </c>
      <c r="N5" s="532" t="s">
        <v>293</v>
      </c>
      <c r="O5" s="192" t="s">
        <v>244</v>
      </c>
      <c r="P5" s="502">
        <v>4533</v>
      </c>
      <c r="Q5" s="552">
        <f>(P5-P4)/P4</f>
        <v>0.39706040984137059</v>
      </c>
      <c r="R5" s="192" t="s">
        <v>244</v>
      </c>
      <c r="S5" s="502">
        <f>P5</f>
        <v>4533</v>
      </c>
      <c r="T5" s="530">
        <f>(S5-S4)/S4</f>
        <v>1.0679744525547445</v>
      </c>
    </row>
    <row r="6" spans="2:28" x14ac:dyDescent="0.25">
      <c r="B6" s="46" t="s">
        <v>435</v>
      </c>
      <c r="C6" s="560">
        <f>C4+C5</f>
        <v>-28172.41287090995</v>
      </c>
      <c r="D6" s="77">
        <f t="shared" si="0"/>
        <v>-0.93148019705804097</v>
      </c>
      <c r="E6" s="554">
        <f>E4+E5</f>
        <v>32610</v>
      </c>
      <c r="F6" s="554">
        <f t="shared" ref="F6:H6" si="2">F4+F5</f>
        <v>2402.0652060131315</v>
      </c>
      <c r="G6" s="554">
        <f t="shared" si="2"/>
        <v>-4767.2860256410204</v>
      </c>
      <c r="H6" s="554">
        <f t="shared" si="2"/>
        <v>7405.9664115303085</v>
      </c>
      <c r="I6" s="559">
        <f>SUM(E6:G6)</f>
        <v>30244.779180372112</v>
      </c>
      <c r="J6" s="558">
        <f>I6-E6</f>
        <v>-2365.220819627888</v>
      </c>
      <c r="K6" s="551">
        <f t="shared" si="1"/>
        <v>-7.2530537247098681E-2</v>
      </c>
    </row>
    <row r="11" spans="2:28" x14ac:dyDescent="0.25">
      <c r="B11" s="46"/>
      <c r="C11" s="46"/>
      <c r="D11" s="47">
        <v>43891</v>
      </c>
      <c r="E11" s="47">
        <v>43922</v>
      </c>
      <c r="F11" s="47">
        <v>43952</v>
      </c>
      <c r="G11" s="47">
        <v>43983</v>
      </c>
      <c r="H11" s="47">
        <v>44013</v>
      </c>
      <c r="I11" s="47">
        <v>44044</v>
      </c>
      <c r="J11" s="47">
        <v>44075</v>
      </c>
      <c r="K11" s="47">
        <v>44105</v>
      </c>
      <c r="L11" s="47">
        <v>44136</v>
      </c>
      <c r="M11" s="47">
        <v>44166</v>
      </c>
      <c r="N11" s="47">
        <v>44197</v>
      </c>
      <c r="O11" s="47">
        <v>44228</v>
      </c>
      <c r="P11" s="47">
        <v>44256</v>
      </c>
      <c r="Q11" s="47">
        <v>44287</v>
      </c>
      <c r="R11" s="47">
        <v>44317</v>
      </c>
      <c r="S11" s="47">
        <v>44348</v>
      </c>
      <c r="T11" s="47">
        <v>44378</v>
      </c>
      <c r="U11" s="47">
        <v>44409</v>
      </c>
      <c r="V11" s="47">
        <v>44440</v>
      </c>
      <c r="W11" s="47">
        <v>44470</v>
      </c>
      <c r="X11" s="47">
        <v>44501</v>
      </c>
      <c r="Y11" s="47">
        <v>44531</v>
      </c>
      <c r="Z11" s="47">
        <v>44562</v>
      </c>
      <c r="AA11" s="46"/>
      <c r="AB11" s="547" t="s">
        <v>5</v>
      </c>
    </row>
    <row r="12" spans="2:28" x14ac:dyDescent="0.25">
      <c r="B12" s="567" t="s">
        <v>421</v>
      </c>
      <c r="C12" s="46" t="s">
        <v>432</v>
      </c>
      <c r="D12" s="555">
        <f>SUM('SG Portfolio'!I9)</f>
        <v>51.019999999999968</v>
      </c>
      <c r="E12" s="555">
        <f>SUM('SG Portfolio'!J9)</f>
        <v>211.59999999999985</v>
      </c>
      <c r="F12" s="555">
        <f>SUM('SG Portfolio'!K9)</f>
        <v>221.24000000000009</v>
      </c>
      <c r="G12" s="555">
        <f>SUM('SG Portfolio'!L9)</f>
        <v>335.9443984476066</v>
      </c>
      <c r="H12" s="555">
        <f>SUM('SG Portfolio'!M9)</f>
        <v>177.16830530401052</v>
      </c>
      <c r="I12" s="555">
        <f>SUM('SG Portfolio'!N9)</f>
        <v>1068.3600000000001</v>
      </c>
      <c r="J12" s="555">
        <f>SUM('SG Portfolio'!O9)</f>
        <v>113.3600000000001</v>
      </c>
      <c r="K12" s="555">
        <f>SUM('SG Portfolio'!P9)</f>
        <v>232.2399999999999</v>
      </c>
      <c r="L12" s="555">
        <f>SUM('SG Portfolio'!Q9)</f>
        <v>1035.7615384615387</v>
      </c>
      <c r="M12" s="555">
        <f>SUM('SG Portfolio'!R9)</f>
        <v>165.62000000000006</v>
      </c>
      <c r="N12" s="555">
        <f>SUM('SG Portfolio'!S9)-SUM('Day Trade'!E139:E150)</f>
        <v>626.22229487179436</v>
      </c>
      <c r="O12" s="555">
        <f>SUM('SG Portfolio'!T9)</f>
        <v>-358.88</v>
      </c>
      <c r="P12" s="555">
        <f>SUM('SG Portfolio'!U9)-SUM('Day Trade'!E151:E158)</f>
        <v>1253.0700000000074</v>
      </c>
      <c r="Q12" s="555">
        <f>SUM('SG Portfolio'!V9)-SUM('Day Trade'!E159:E162)</f>
        <v>1698.9099999999985</v>
      </c>
      <c r="R12" s="555">
        <f>SUM('SG Portfolio'!W9)-'Day Trade'!E163</f>
        <v>1028.6517846153858</v>
      </c>
      <c r="S12" s="555">
        <f>SUM('SG Portfolio'!X9)</f>
        <v>1944.5399999999972</v>
      </c>
      <c r="T12" s="555">
        <f>SUM('SG Portfolio'!Y9)-SUM('Day Trade'!E164:E172)</f>
        <v>3176.4299999999971</v>
      </c>
      <c r="U12" s="555">
        <f>SUM('SG Portfolio'!Z9)-SUM('Day Trade'!E173:E180)</f>
        <v>-4689.4894871794959</v>
      </c>
      <c r="V12" s="555">
        <f>SUM('SG Portfolio'!AA9)-'Day Trade'!E181</f>
        <v>179.57999999999913</v>
      </c>
      <c r="W12" s="555">
        <f>SUM('SG Portfolio'!AB9)</f>
        <v>835.3245143745122</v>
      </c>
      <c r="X12" s="555">
        <f>SUM('SG Portfolio'!AC9)</f>
        <v>524.05999999999972</v>
      </c>
      <c r="Y12" s="555">
        <f>SUM('SG Portfolio'!AD9)-'Day Trade'!E182</f>
        <v>561.47769230769313</v>
      </c>
      <c r="Z12" s="555">
        <f>SUM('SG Portfolio'!AE9)-SUM('Day Trade'!E183:E187)</f>
        <v>-4311.150521700526</v>
      </c>
      <c r="AA12" s="556"/>
      <c r="AB12" s="557">
        <f>SUM(D12:AA12)</f>
        <v>6081.0605195025191</v>
      </c>
    </row>
    <row r="13" spans="2:28" x14ac:dyDescent="0.25">
      <c r="B13" s="567"/>
      <c r="C13" s="46" t="s">
        <v>433</v>
      </c>
      <c r="D13" s="555">
        <v>0</v>
      </c>
      <c r="E13" s="555">
        <v>0</v>
      </c>
      <c r="F13" s="555">
        <v>0</v>
      </c>
      <c r="G13" s="555">
        <v>0</v>
      </c>
      <c r="H13" s="555">
        <v>0</v>
      </c>
      <c r="I13" s="555">
        <v>0</v>
      </c>
      <c r="J13" s="555">
        <v>0</v>
      </c>
      <c r="K13" s="555">
        <v>0</v>
      </c>
      <c r="L13" s="555">
        <v>0</v>
      </c>
      <c r="M13" s="555">
        <v>0</v>
      </c>
      <c r="N13" s="555">
        <f>SUM('Day Trade'!E139:E150)</f>
        <v>-1148.4440999999892</v>
      </c>
      <c r="O13" s="555">
        <v>0</v>
      </c>
      <c r="P13" s="555">
        <f>SUM('Day Trade'!E151:E158)</f>
        <v>1503.7199999999943</v>
      </c>
      <c r="Q13" s="555">
        <f>SUM('Day Trade'!E159:E162)</f>
        <v>331.24000000000535</v>
      </c>
      <c r="R13" s="555">
        <f>'Day Trade'!E163</f>
        <v>-56.759999999999877</v>
      </c>
      <c r="S13" s="555">
        <v>0</v>
      </c>
      <c r="T13" s="555">
        <f>SUM('Day Trade'!E164:E172)</f>
        <v>913.13999999999942</v>
      </c>
      <c r="U13" s="555">
        <f>SUM('Day Trade'!E173:E180)</f>
        <v>198.09999999999442</v>
      </c>
      <c r="V13" s="555">
        <f>'Day Trade'!E181</f>
        <v>113.23999999999899</v>
      </c>
      <c r="W13" s="555">
        <v>0</v>
      </c>
      <c r="X13" s="555">
        <v>0</v>
      </c>
      <c r="Y13" s="555">
        <f>'Day Trade'!E182</f>
        <v>76.839999999999975</v>
      </c>
      <c r="Z13" s="555">
        <f>SUM('Day Trade'!E183:E187)</f>
        <v>-1349.2927263099109</v>
      </c>
      <c r="AA13" s="556"/>
      <c r="AB13" s="557">
        <f t="shared" ref="AB13:AB17" si="3">SUM(D13:AA13)</f>
        <v>581.78317369009233</v>
      </c>
    </row>
    <row r="14" spans="2:28" x14ac:dyDescent="0.25">
      <c r="B14" s="568"/>
      <c r="C14" s="46" t="s">
        <v>434</v>
      </c>
      <c r="D14" s="555">
        <f>D12+D13</f>
        <v>51.019999999999968</v>
      </c>
      <c r="E14" s="555">
        <f t="shared" ref="E14:Z14" si="4">E12+E13</f>
        <v>211.59999999999985</v>
      </c>
      <c r="F14" s="555">
        <f t="shared" si="4"/>
        <v>221.24000000000009</v>
      </c>
      <c r="G14" s="555">
        <f t="shared" si="4"/>
        <v>335.9443984476066</v>
      </c>
      <c r="H14" s="555">
        <f t="shared" si="4"/>
        <v>177.16830530401052</v>
      </c>
      <c r="I14" s="555">
        <f t="shared" si="4"/>
        <v>1068.3600000000001</v>
      </c>
      <c r="J14" s="555">
        <f t="shared" si="4"/>
        <v>113.3600000000001</v>
      </c>
      <c r="K14" s="555">
        <f t="shared" si="4"/>
        <v>232.2399999999999</v>
      </c>
      <c r="L14" s="555">
        <f t="shared" si="4"/>
        <v>1035.7615384615387</v>
      </c>
      <c r="M14" s="555">
        <f t="shared" si="4"/>
        <v>165.62000000000006</v>
      </c>
      <c r="N14" s="555">
        <f t="shared" si="4"/>
        <v>-522.22180512819489</v>
      </c>
      <c r="O14" s="555">
        <f t="shared" si="4"/>
        <v>-358.88</v>
      </c>
      <c r="P14" s="555">
        <f t="shared" si="4"/>
        <v>2756.7900000000018</v>
      </c>
      <c r="Q14" s="555">
        <f t="shared" si="4"/>
        <v>2030.1500000000037</v>
      </c>
      <c r="R14" s="555">
        <f t="shared" si="4"/>
        <v>971.89178461538597</v>
      </c>
      <c r="S14" s="555">
        <f t="shared" si="4"/>
        <v>1944.5399999999972</v>
      </c>
      <c r="T14" s="555">
        <f t="shared" si="4"/>
        <v>4089.5699999999965</v>
      </c>
      <c r="U14" s="555">
        <f t="shared" si="4"/>
        <v>-4491.3894871795019</v>
      </c>
      <c r="V14" s="555">
        <f t="shared" si="4"/>
        <v>292.81999999999812</v>
      </c>
      <c r="W14" s="555">
        <f t="shared" si="4"/>
        <v>835.3245143745122</v>
      </c>
      <c r="X14" s="555">
        <f t="shared" si="4"/>
        <v>524.05999999999972</v>
      </c>
      <c r="Y14" s="555">
        <f t="shared" si="4"/>
        <v>638.31769230769305</v>
      </c>
      <c r="Z14" s="555">
        <f t="shared" si="4"/>
        <v>-5660.4432480104369</v>
      </c>
      <c r="AA14" s="556"/>
      <c r="AB14" s="557">
        <f t="shared" si="3"/>
        <v>6662.843693192608</v>
      </c>
    </row>
    <row r="15" spans="2:28" x14ac:dyDescent="0.25">
      <c r="B15" s="569" t="s">
        <v>422</v>
      </c>
      <c r="C15" s="46" t="s">
        <v>432</v>
      </c>
      <c r="D15" s="555">
        <v>0</v>
      </c>
      <c r="E15" s="555">
        <v>0</v>
      </c>
      <c r="F15" s="555">
        <v>0</v>
      </c>
      <c r="G15" s="555">
        <v>0</v>
      </c>
      <c r="H15" s="555">
        <v>0</v>
      </c>
      <c r="I15" s="555">
        <v>0</v>
      </c>
      <c r="J15" s="555">
        <v>0</v>
      </c>
      <c r="K15" s="555">
        <v>0</v>
      </c>
      <c r="L15" s="555">
        <v>0</v>
      </c>
      <c r="M15" s="555">
        <v>0</v>
      </c>
      <c r="N15" s="555">
        <v>0</v>
      </c>
      <c r="O15" s="555">
        <v>0</v>
      </c>
      <c r="P15" s="555">
        <v>0</v>
      </c>
      <c r="Q15" s="555">
        <v>0</v>
      </c>
      <c r="R15" s="555">
        <v>0</v>
      </c>
      <c r="S15" s="555">
        <v>0</v>
      </c>
      <c r="T15" s="555">
        <f>'FUTU Portfolio'!L11</f>
        <v>-756.03</v>
      </c>
      <c r="U15" s="555">
        <f>'FUTU Portfolio'!M11</f>
        <v>0</v>
      </c>
      <c r="V15" s="555">
        <f>'FUTU Portfolio'!N11</f>
        <v>0</v>
      </c>
      <c r="W15" s="555">
        <f>'FUTU Portfolio'!O11</f>
        <v>125.86000000000024</v>
      </c>
      <c r="X15" s="555">
        <f>'FUTU Portfolio'!P11-SUM('FUTU Portfolio'!L27:L36)</f>
        <v>86.579999999999501</v>
      </c>
      <c r="Y15" s="555">
        <f>'FUTU Portfolio'!Q11-SUM('FUTU Portfolio'!L37:L43,'FUTU Portfolio'!L45,'FUTU Portfolio'!L47:L52,'FUTU Portfolio'!L54:L56,'FUTU Portfolio'!L63:L64)</f>
        <v>-603.08999999999901</v>
      </c>
      <c r="Z15" s="555">
        <f>'FUTU Portfolio'!R11-SUM('FUTU Portfolio'!L66:L73,'FUTU Portfolio'!L76:L80,'FUTU Portfolio'!L82:L88,'FUTU Portfolio'!L91:L99,'FUTU Portfolio'!L101:'FUTU Portfolio'!L155,'FUTU Portfolio'!L156:L173,'FUTU Portfolio'!L175:L199)</f>
        <v>-2306.1399999999967</v>
      </c>
      <c r="AA15" s="556"/>
      <c r="AB15" s="557">
        <f t="shared" si="3"/>
        <v>-3452.8199999999961</v>
      </c>
    </row>
    <row r="16" spans="2:28" x14ac:dyDescent="0.25">
      <c r="B16" s="567"/>
      <c r="C16" s="46" t="s">
        <v>433</v>
      </c>
      <c r="D16" s="555">
        <v>0</v>
      </c>
      <c r="E16" s="555">
        <v>0</v>
      </c>
      <c r="F16" s="555">
        <v>0</v>
      </c>
      <c r="G16" s="555">
        <v>0</v>
      </c>
      <c r="H16" s="555">
        <v>0</v>
      </c>
      <c r="I16" s="555">
        <v>0</v>
      </c>
      <c r="J16" s="555">
        <v>0</v>
      </c>
      <c r="K16" s="555">
        <v>0</v>
      </c>
      <c r="L16" s="555">
        <v>0</v>
      </c>
      <c r="M16" s="555">
        <v>0</v>
      </c>
      <c r="N16" s="555">
        <v>0</v>
      </c>
      <c r="O16" s="555">
        <v>0</v>
      </c>
      <c r="P16" s="555">
        <v>0</v>
      </c>
      <c r="Q16" s="555">
        <v>0</v>
      </c>
      <c r="R16" s="555">
        <v>0</v>
      </c>
      <c r="S16" s="555">
        <v>0</v>
      </c>
      <c r="T16" s="555">
        <v>0</v>
      </c>
      <c r="U16" s="555">
        <v>0</v>
      </c>
      <c r="V16" s="555">
        <v>0</v>
      </c>
      <c r="W16" s="555">
        <v>0</v>
      </c>
      <c r="X16" s="555">
        <f>SUM('FUTU Portfolio'!L27:L36)</f>
        <v>232.18999999999946</v>
      </c>
      <c r="Y16" s="555">
        <f>SUM('FUTU Portfolio'!L37:L43,'FUTU Portfolio'!L45,'FUTU Portfolio'!L47:L52,'FUTU Portfolio'!L54:L56,'FUTU Portfolio'!L63:L64)</f>
        <v>54.00999999999874</v>
      </c>
      <c r="Z16" s="555">
        <f>SUM('FUTU Portfolio'!L66:L73,'FUTU Portfolio'!L76:L80,'FUTU Portfolio'!L82:L88,'FUTU Portfolio'!L91:L99,'FUTU Portfolio'!L101:'FUTU Portfolio'!L155,'FUTU Portfolio'!L156:L173,'FUTU Portfolio'!L175:L199)</f>
        <v>-1094.1584871794787</v>
      </c>
      <c r="AA16" s="556"/>
      <c r="AB16" s="557">
        <f t="shared" si="3"/>
        <v>-807.95848717948047</v>
      </c>
    </row>
    <row r="17" spans="2:29" x14ac:dyDescent="0.25">
      <c r="B17" s="568"/>
      <c r="C17" s="46" t="s">
        <v>434</v>
      </c>
      <c r="D17" s="555">
        <f>D15+D16</f>
        <v>0</v>
      </c>
      <c r="E17" s="555">
        <f t="shared" ref="E17:Z17" si="5">E15+E16</f>
        <v>0</v>
      </c>
      <c r="F17" s="555">
        <f t="shared" si="5"/>
        <v>0</v>
      </c>
      <c r="G17" s="555">
        <f t="shared" si="5"/>
        <v>0</v>
      </c>
      <c r="H17" s="555">
        <f t="shared" si="5"/>
        <v>0</v>
      </c>
      <c r="I17" s="555">
        <f t="shared" si="5"/>
        <v>0</v>
      </c>
      <c r="J17" s="555">
        <f t="shared" si="5"/>
        <v>0</v>
      </c>
      <c r="K17" s="555">
        <f t="shared" si="5"/>
        <v>0</v>
      </c>
      <c r="L17" s="555">
        <f t="shared" si="5"/>
        <v>0</v>
      </c>
      <c r="M17" s="555">
        <f t="shared" si="5"/>
        <v>0</v>
      </c>
      <c r="N17" s="555">
        <f t="shared" si="5"/>
        <v>0</v>
      </c>
      <c r="O17" s="555">
        <f t="shared" si="5"/>
        <v>0</v>
      </c>
      <c r="P17" s="555">
        <f t="shared" si="5"/>
        <v>0</v>
      </c>
      <c r="Q17" s="555">
        <f t="shared" si="5"/>
        <v>0</v>
      </c>
      <c r="R17" s="555">
        <f t="shared" si="5"/>
        <v>0</v>
      </c>
      <c r="S17" s="555">
        <f t="shared" si="5"/>
        <v>0</v>
      </c>
      <c r="T17" s="555">
        <f t="shared" si="5"/>
        <v>-756.03</v>
      </c>
      <c r="U17" s="555">
        <f t="shared" si="5"/>
        <v>0</v>
      </c>
      <c r="V17" s="555">
        <f t="shared" si="5"/>
        <v>0</v>
      </c>
      <c r="W17" s="555">
        <f t="shared" si="5"/>
        <v>125.86000000000024</v>
      </c>
      <c r="X17" s="555">
        <f t="shared" si="5"/>
        <v>318.76999999999896</v>
      </c>
      <c r="Y17" s="555">
        <f t="shared" si="5"/>
        <v>-549.08000000000027</v>
      </c>
      <c r="Z17" s="555">
        <f t="shared" si="5"/>
        <v>-3400.2984871794752</v>
      </c>
      <c r="AA17" s="556"/>
      <c r="AB17" s="557">
        <f t="shared" si="3"/>
        <v>-4260.7784871794765</v>
      </c>
    </row>
    <row r="18" spans="2:29" x14ac:dyDescent="0.25">
      <c r="B18" s="569" t="s">
        <v>435</v>
      </c>
      <c r="C18" s="46" t="s">
        <v>432</v>
      </c>
      <c r="D18" s="555">
        <f>D12+D15</f>
        <v>51.019999999999968</v>
      </c>
      <c r="E18" s="555">
        <f t="shared" ref="E18:Z18" si="6">E12+E15</f>
        <v>211.59999999999985</v>
      </c>
      <c r="F18" s="555">
        <f t="shared" si="6"/>
        <v>221.24000000000009</v>
      </c>
      <c r="G18" s="555">
        <f t="shared" si="6"/>
        <v>335.9443984476066</v>
      </c>
      <c r="H18" s="555">
        <f t="shared" si="6"/>
        <v>177.16830530401052</v>
      </c>
      <c r="I18" s="555">
        <f t="shared" si="6"/>
        <v>1068.3600000000001</v>
      </c>
      <c r="J18" s="555">
        <f t="shared" si="6"/>
        <v>113.3600000000001</v>
      </c>
      <c r="K18" s="555">
        <f t="shared" si="6"/>
        <v>232.2399999999999</v>
      </c>
      <c r="L18" s="555">
        <f t="shared" si="6"/>
        <v>1035.7615384615387</v>
      </c>
      <c r="M18" s="555">
        <f t="shared" si="6"/>
        <v>165.62000000000006</v>
      </c>
      <c r="N18" s="555">
        <f t="shared" si="6"/>
        <v>626.22229487179436</v>
      </c>
      <c r="O18" s="555">
        <f t="shared" si="6"/>
        <v>-358.88</v>
      </c>
      <c r="P18" s="555">
        <f t="shared" si="6"/>
        <v>1253.0700000000074</v>
      </c>
      <c r="Q18" s="555">
        <f t="shared" si="6"/>
        <v>1698.9099999999985</v>
      </c>
      <c r="R18" s="555">
        <f t="shared" si="6"/>
        <v>1028.6517846153858</v>
      </c>
      <c r="S18" s="555">
        <f t="shared" si="6"/>
        <v>1944.5399999999972</v>
      </c>
      <c r="T18" s="555">
        <f t="shared" si="6"/>
        <v>2420.3999999999969</v>
      </c>
      <c r="U18" s="555">
        <f t="shared" si="6"/>
        <v>-4689.4894871794959</v>
      </c>
      <c r="V18" s="555">
        <f t="shared" si="6"/>
        <v>179.57999999999913</v>
      </c>
      <c r="W18" s="555">
        <f t="shared" si="6"/>
        <v>961.18451437451245</v>
      </c>
      <c r="X18" s="555">
        <f t="shared" si="6"/>
        <v>610.63999999999919</v>
      </c>
      <c r="Y18" s="555">
        <f t="shared" si="6"/>
        <v>-41.612307692305876</v>
      </c>
      <c r="Z18" s="555">
        <f t="shared" si="6"/>
        <v>-6617.2905217005227</v>
      </c>
      <c r="AA18" s="556"/>
      <c r="AB18" s="557">
        <f t="shared" ref="AB18:AB20" si="7">SUM(D18:AA18)</f>
        <v>2628.2405195025221</v>
      </c>
    </row>
    <row r="19" spans="2:29" x14ac:dyDescent="0.25">
      <c r="B19" s="567"/>
      <c r="C19" s="46" t="s">
        <v>433</v>
      </c>
      <c r="D19" s="555">
        <f>D13+D16</f>
        <v>0</v>
      </c>
      <c r="E19" s="555">
        <f t="shared" ref="E19:Z19" si="8">E13+E16</f>
        <v>0</v>
      </c>
      <c r="F19" s="555">
        <f t="shared" si="8"/>
        <v>0</v>
      </c>
      <c r="G19" s="555">
        <f t="shared" si="8"/>
        <v>0</v>
      </c>
      <c r="H19" s="555">
        <f t="shared" si="8"/>
        <v>0</v>
      </c>
      <c r="I19" s="555">
        <f t="shared" si="8"/>
        <v>0</v>
      </c>
      <c r="J19" s="555">
        <f t="shared" si="8"/>
        <v>0</v>
      </c>
      <c r="K19" s="555">
        <f t="shared" si="8"/>
        <v>0</v>
      </c>
      <c r="L19" s="555">
        <f t="shared" si="8"/>
        <v>0</v>
      </c>
      <c r="M19" s="555">
        <f t="shared" si="8"/>
        <v>0</v>
      </c>
      <c r="N19" s="555">
        <f t="shared" si="8"/>
        <v>-1148.4440999999892</v>
      </c>
      <c r="O19" s="555">
        <f t="shared" si="8"/>
        <v>0</v>
      </c>
      <c r="P19" s="555">
        <f t="shared" si="8"/>
        <v>1503.7199999999943</v>
      </c>
      <c r="Q19" s="555">
        <f t="shared" si="8"/>
        <v>331.24000000000535</v>
      </c>
      <c r="R19" s="555">
        <f t="shared" si="8"/>
        <v>-56.759999999999877</v>
      </c>
      <c r="S19" s="555">
        <f t="shared" si="8"/>
        <v>0</v>
      </c>
      <c r="T19" s="555">
        <f t="shared" si="8"/>
        <v>913.13999999999942</v>
      </c>
      <c r="U19" s="555">
        <f t="shared" si="8"/>
        <v>198.09999999999442</v>
      </c>
      <c r="V19" s="555">
        <f t="shared" si="8"/>
        <v>113.23999999999899</v>
      </c>
      <c r="W19" s="555">
        <f t="shared" si="8"/>
        <v>0</v>
      </c>
      <c r="X19" s="555">
        <f t="shared" si="8"/>
        <v>232.18999999999946</v>
      </c>
      <c r="Y19" s="555">
        <f t="shared" si="8"/>
        <v>130.84999999999872</v>
      </c>
      <c r="Z19" s="555">
        <f t="shared" si="8"/>
        <v>-2443.4512134893894</v>
      </c>
      <c r="AA19" s="556"/>
      <c r="AB19" s="557">
        <f t="shared" si="7"/>
        <v>-226.17531348938792</v>
      </c>
    </row>
    <row r="20" spans="2:29" x14ac:dyDescent="0.25">
      <c r="B20" s="568"/>
      <c r="C20" s="46" t="s">
        <v>434</v>
      </c>
      <c r="D20" s="555">
        <f>D18+D19</f>
        <v>51.019999999999968</v>
      </c>
      <c r="E20" s="555">
        <f t="shared" ref="E20" si="9">E18+E19</f>
        <v>211.59999999999985</v>
      </c>
      <c r="F20" s="555">
        <f t="shared" ref="F20" si="10">F18+F19</f>
        <v>221.24000000000009</v>
      </c>
      <c r="G20" s="555">
        <f t="shared" ref="G20" si="11">G18+G19</f>
        <v>335.9443984476066</v>
      </c>
      <c r="H20" s="555">
        <f t="shared" ref="H20" si="12">H18+H19</f>
        <v>177.16830530401052</v>
      </c>
      <c r="I20" s="555">
        <f t="shared" ref="I20" si="13">I18+I19</f>
        <v>1068.3600000000001</v>
      </c>
      <c r="J20" s="555">
        <f t="shared" ref="J20" si="14">J18+J19</f>
        <v>113.3600000000001</v>
      </c>
      <c r="K20" s="555">
        <f t="shared" ref="K20" si="15">K18+K19</f>
        <v>232.2399999999999</v>
      </c>
      <c r="L20" s="555">
        <f t="shared" ref="L20" si="16">L18+L19</f>
        <v>1035.7615384615387</v>
      </c>
      <c r="M20" s="555">
        <f t="shared" ref="M20" si="17">M18+M19</f>
        <v>165.62000000000006</v>
      </c>
      <c r="N20" s="555">
        <f t="shared" ref="N20" si="18">N18+N19</f>
        <v>-522.22180512819489</v>
      </c>
      <c r="O20" s="555">
        <f t="shared" ref="O20" si="19">O18+O19</f>
        <v>-358.88</v>
      </c>
      <c r="P20" s="555">
        <f t="shared" ref="P20" si="20">P18+P19</f>
        <v>2756.7900000000018</v>
      </c>
      <c r="Q20" s="555">
        <f t="shared" ref="Q20" si="21">Q18+Q19</f>
        <v>2030.1500000000037</v>
      </c>
      <c r="R20" s="555">
        <f t="shared" ref="R20" si="22">R18+R19</f>
        <v>971.89178461538597</v>
      </c>
      <c r="S20" s="555">
        <f t="shared" ref="S20" si="23">S18+S19</f>
        <v>1944.5399999999972</v>
      </c>
      <c r="T20" s="555">
        <f t="shared" ref="T20" si="24">T18+T19</f>
        <v>3333.5399999999963</v>
      </c>
      <c r="U20" s="555">
        <f t="shared" ref="U20" si="25">U18+U19</f>
        <v>-4491.3894871795019</v>
      </c>
      <c r="V20" s="555">
        <f t="shared" ref="V20" si="26">V18+V19</f>
        <v>292.81999999999812</v>
      </c>
      <c r="W20" s="555">
        <f t="shared" ref="W20" si="27">W18+W19</f>
        <v>961.18451437451245</v>
      </c>
      <c r="X20" s="555">
        <f t="shared" ref="X20" si="28">X18+X19</f>
        <v>842.82999999999868</v>
      </c>
      <c r="Y20" s="555">
        <f t="shared" ref="Y20" si="29">Y18+Y19</f>
        <v>89.237692307692839</v>
      </c>
      <c r="Z20" s="555">
        <f t="shared" ref="Z20" si="30">Z18+Z19</f>
        <v>-9060.741735189913</v>
      </c>
      <c r="AA20" s="556"/>
      <c r="AB20" s="557">
        <f t="shared" si="7"/>
        <v>2402.0652060131324</v>
      </c>
    </row>
    <row r="21" spans="2:29" x14ac:dyDescent="0.25">
      <c r="AC21" s="262"/>
    </row>
    <row r="41" spans="3:26" x14ac:dyDescent="0.25">
      <c r="C41" s="127"/>
      <c r="D41" s="47">
        <v>43891</v>
      </c>
      <c r="E41" s="47">
        <v>43922</v>
      </c>
      <c r="F41" s="47">
        <v>43952</v>
      </c>
      <c r="G41" s="47">
        <v>43983</v>
      </c>
      <c r="H41" s="47">
        <v>44013</v>
      </c>
      <c r="I41" s="47">
        <v>44044</v>
      </c>
      <c r="J41" s="47">
        <v>44075</v>
      </c>
      <c r="K41" s="47">
        <v>44105</v>
      </c>
      <c r="L41" s="47">
        <v>44136</v>
      </c>
      <c r="M41" s="47">
        <v>44166</v>
      </c>
      <c r="N41" s="47">
        <v>44197</v>
      </c>
      <c r="O41" s="47">
        <v>44228</v>
      </c>
      <c r="P41" s="47">
        <v>44256</v>
      </c>
      <c r="Q41" s="47">
        <v>44287</v>
      </c>
      <c r="R41" s="47">
        <v>44317</v>
      </c>
      <c r="S41" s="47">
        <v>44348</v>
      </c>
      <c r="T41" s="47">
        <v>44378</v>
      </c>
      <c r="U41" s="47">
        <v>44409</v>
      </c>
      <c r="V41" s="47">
        <v>44440</v>
      </c>
      <c r="W41" s="47">
        <v>44470</v>
      </c>
      <c r="X41" s="47">
        <v>44501</v>
      </c>
      <c r="Y41" s="47">
        <v>44531</v>
      </c>
      <c r="Z41" s="47">
        <v>44562</v>
      </c>
    </row>
    <row r="42" spans="3:26" x14ac:dyDescent="0.25">
      <c r="C42" s="46" t="s">
        <v>436</v>
      </c>
      <c r="D42" s="200">
        <v>23603</v>
      </c>
      <c r="E42" s="200">
        <v>24643</v>
      </c>
      <c r="F42" s="200">
        <v>22961</v>
      </c>
      <c r="G42" s="200">
        <v>24427</v>
      </c>
      <c r="H42" s="200">
        <v>24595</v>
      </c>
      <c r="I42" s="200">
        <v>25177</v>
      </c>
      <c r="J42" s="200">
        <v>23459</v>
      </c>
      <c r="K42" s="200">
        <v>24107</v>
      </c>
      <c r="L42" s="200">
        <v>26341</v>
      </c>
      <c r="M42" s="200">
        <v>27231</v>
      </c>
      <c r="N42" s="200">
        <v>28283</v>
      </c>
      <c r="O42" s="200">
        <v>28980</v>
      </c>
      <c r="P42" s="200">
        <v>28378</v>
      </c>
      <c r="Q42" s="200">
        <v>28724</v>
      </c>
      <c r="R42" s="200">
        <v>29151</v>
      </c>
      <c r="S42" s="200">
        <v>28827</v>
      </c>
      <c r="T42" s="200">
        <v>25961</v>
      </c>
      <c r="U42" s="200">
        <v>25878</v>
      </c>
      <c r="V42" s="200">
        <v>24575</v>
      </c>
      <c r="W42" s="200">
        <v>25377</v>
      </c>
      <c r="X42" s="200">
        <v>23475</v>
      </c>
      <c r="Y42" s="200">
        <v>23397</v>
      </c>
      <c r="Z42" s="200">
        <v>24429</v>
      </c>
    </row>
    <row r="43" spans="3:26" x14ac:dyDescent="0.25">
      <c r="C43" s="46" t="s">
        <v>190</v>
      </c>
      <c r="D43" s="200">
        <v>24345</v>
      </c>
      <c r="E43" s="200">
        <v>25383</v>
      </c>
      <c r="F43" s="200">
        <v>25812</v>
      </c>
      <c r="G43" s="200">
        <v>26428</v>
      </c>
      <c r="H43" s="200">
        <v>28430</v>
      </c>
      <c r="I43" s="200">
        <v>27781</v>
      </c>
      <c r="J43" s="200">
        <v>26501</v>
      </c>
      <c r="K43" s="200">
        <v>29638</v>
      </c>
      <c r="L43" s="200">
        <v>30606</v>
      </c>
      <c r="M43" s="200">
        <v>29982</v>
      </c>
      <c r="N43" s="200">
        <v>30932</v>
      </c>
      <c r="O43" s="200">
        <v>32981</v>
      </c>
      <c r="P43" s="200">
        <v>33874</v>
      </c>
      <c r="Q43" s="200">
        <v>34529</v>
      </c>
      <c r="R43" s="200">
        <v>34502</v>
      </c>
      <c r="S43" s="200">
        <v>34935</v>
      </c>
      <c r="T43" s="200">
        <v>35360</v>
      </c>
      <c r="U43" s="200">
        <v>33843</v>
      </c>
      <c r="V43" s="200">
        <v>35819</v>
      </c>
      <c r="W43" s="200">
        <v>34483</v>
      </c>
      <c r="X43" s="200">
        <v>36338</v>
      </c>
      <c r="Y43" s="200">
        <v>36113</v>
      </c>
      <c r="Z43" s="200">
        <v>36113</v>
      </c>
    </row>
    <row r="44" spans="3:26" x14ac:dyDescent="0.25">
      <c r="C44" s="46" t="s">
        <v>10</v>
      </c>
      <c r="D44" s="200">
        <v>8889</v>
      </c>
      <c r="E44" s="200">
        <v>3489</v>
      </c>
      <c r="F44" s="200">
        <v>10058</v>
      </c>
      <c r="G44" s="200">
        <v>10745</v>
      </c>
      <c r="H44" s="200">
        <v>11775</v>
      </c>
      <c r="I44" s="200">
        <v>11167</v>
      </c>
      <c r="J44" s="200">
        <v>10911</v>
      </c>
      <c r="K44" s="200">
        <v>12198</v>
      </c>
      <c r="L44" s="200">
        <v>12888</v>
      </c>
      <c r="M44" s="200">
        <v>13070</v>
      </c>
      <c r="N44" s="200">
        <v>13192</v>
      </c>
      <c r="O44" s="200">
        <v>13246</v>
      </c>
      <c r="P44" s="200">
        <v>13962</v>
      </c>
      <c r="Q44" s="200">
        <v>13748</v>
      </c>
      <c r="R44" s="200">
        <v>14503</v>
      </c>
      <c r="S44" s="200">
        <v>14672</v>
      </c>
      <c r="T44" s="200">
        <v>15259</v>
      </c>
      <c r="U44" s="200">
        <v>14448</v>
      </c>
      <c r="V44" s="200">
        <v>15498</v>
      </c>
      <c r="W44" s="200">
        <v>15537</v>
      </c>
      <c r="X44" s="200">
        <v>15644</v>
      </c>
      <c r="Y44" s="200">
        <v>14806</v>
      </c>
      <c r="Z44" s="200">
        <v>14806</v>
      </c>
    </row>
    <row r="45" spans="3:26" x14ac:dyDescent="0.25">
      <c r="C45" s="46" t="s">
        <v>285</v>
      </c>
      <c r="D45" s="200">
        <v>2912</v>
      </c>
      <c r="E45" s="200">
        <v>3044</v>
      </c>
      <c r="F45" s="200">
        <v>3100</v>
      </c>
      <c r="G45" s="200">
        <v>3271</v>
      </c>
      <c r="H45" s="200">
        <v>3500</v>
      </c>
      <c r="I45" s="200">
        <v>3363</v>
      </c>
      <c r="J45" s="200">
        <v>3269</v>
      </c>
      <c r="K45" s="200">
        <v>3621</v>
      </c>
      <c r="L45" s="200">
        <v>3756</v>
      </c>
      <c r="M45" s="200">
        <v>3714</v>
      </c>
      <c r="N45" s="200">
        <v>3811</v>
      </c>
      <c r="O45" s="200">
        <v>3972</v>
      </c>
      <c r="P45" s="200">
        <v>4181</v>
      </c>
      <c r="Q45" s="200">
        <v>4204</v>
      </c>
      <c r="R45" s="200">
        <v>4297</v>
      </c>
      <c r="S45" s="200">
        <v>4395</v>
      </c>
      <c r="T45" s="200">
        <v>4522</v>
      </c>
      <c r="U45" s="200">
        <v>4307</v>
      </c>
      <c r="V45" s="200">
        <v>4605</v>
      </c>
      <c r="W45" s="200">
        <v>4567</v>
      </c>
      <c r="X45" s="200">
        <v>4766</v>
      </c>
      <c r="Y45" s="200">
        <v>4659</v>
      </c>
      <c r="Z45" s="200">
        <v>4659</v>
      </c>
    </row>
  </sheetData>
  <mergeCells count="5">
    <mergeCell ref="B12:B14"/>
    <mergeCell ref="B15:B17"/>
    <mergeCell ref="B18:B20"/>
    <mergeCell ref="O3:T3"/>
    <mergeCell ref="M3:N3"/>
  </mergeCells>
  <pageMargins left="0.7" right="0.7"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2A15A-1314-432B-AEFE-1E1C7F324BBE}">
  <dimension ref="B2:AF356"/>
  <sheetViews>
    <sheetView showGridLines="0" tabSelected="1" topLeftCell="A166" zoomScale="67" zoomScaleNormal="67" workbookViewId="0">
      <selection activeCell="S182" sqref="S182"/>
    </sheetView>
  </sheetViews>
  <sheetFormatPr defaultColWidth="8.85546875" defaultRowHeight="15" x14ac:dyDescent="0.25"/>
  <cols>
    <col min="1" max="1" width="8.85546875" style="39"/>
    <col min="2" max="2" width="11.85546875" style="39" customWidth="1"/>
    <col min="3" max="3" width="65.5703125" style="39" bestFit="1" customWidth="1"/>
    <col min="4" max="4" width="17.140625" style="39" bestFit="1" customWidth="1"/>
    <col min="5" max="5" width="17.42578125" style="39" bestFit="1" customWidth="1"/>
    <col min="6" max="7" width="15.5703125" style="39" bestFit="1" customWidth="1"/>
    <col min="8" max="8" width="15.140625" style="39" customWidth="1"/>
    <col min="9" max="9" width="19.5703125" style="39" bestFit="1" customWidth="1"/>
    <col min="10" max="10" width="24" style="39" bestFit="1" customWidth="1"/>
    <col min="11" max="11" width="22.85546875" style="39" bestFit="1" customWidth="1"/>
    <col min="12" max="12" width="21.85546875" style="39" bestFit="1" customWidth="1"/>
    <col min="13" max="13" width="20.5703125" style="39" bestFit="1" customWidth="1"/>
    <col min="14" max="14" width="15.5703125" style="39" bestFit="1" customWidth="1"/>
    <col min="15" max="15" width="17.85546875" style="39" bestFit="1" customWidth="1"/>
    <col min="16" max="16" width="19" style="39" bestFit="1" customWidth="1"/>
    <col min="17" max="17" width="18.28515625" style="39" bestFit="1" customWidth="1"/>
    <col min="18" max="18" width="17.28515625" style="39" bestFit="1" customWidth="1"/>
    <col min="19" max="19" width="16.7109375" style="39" bestFit="1" customWidth="1"/>
    <col min="20" max="20" width="15" style="39" bestFit="1" customWidth="1"/>
    <col min="21" max="21" width="13.5703125" style="39" bestFit="1" customWidth="1"/>
    <col min="22" max="22" width="19.28515625" style="39" bestFit="1" customWidth="1"/>
    <col min="23" max="25" width="8" style="39" bestFit="1" customWidth="1"/>
    <col min="26" max="27" width="7.140625" style="39" bestFit="1" customWidth="1"/>
    <col min="28" max="28" width="8.42578125" style="39" bestFit="1" customWidth="1"/>
    <col min="29" max="29" width="14.5703125" style="39" bestFit="1" customWidth="1"/>
    <col min="30" max="30" width="8.42578125" style="39" customWidth="1"/>
    <col min="31" max="31" width="14.5703125" style="39" bestFit="1" customWidth="1"/>
    <col min="32" max="16384" width="8.85546875" style="39"/>
  </cols>
  <sheetData>
    <row r="2" spans="3:32" x14ac:dyDescent="0.25">
      <c r="F2" s="153" t="s">
        <v>19</v>
      </c>
    </row>
    <row r="3" spans="3:32" x14ac:dyDescent="0.25">
      <c r="C3" s="344" t="s">
        <v>58</v>
      </c>
      <c r="D3" s="372">
        <f>D4+D5</f>
        <v>29772.843693192608</v>
      </c>
      <c r="E3" s="375" t="s">
        <v>48</v>
      </c>
      <c r="F3" s="376">
        <f>G3/D4</f>
        <v>0.2883099823969108</v>
      </c>
      <c r="G3" s="377">
        <f>AF15</f>
        <v>6662.843693192608</v>
      </c>
      <c r="H3" s="378">
        <f>G3/(G3+G5)</f>
        <v>0.5197396096827972</v>
      </c>
      <c r="J3" s="573" t="s">
        <v>40</v>
      </c>
      <c r="K3" s="574"/>
      <c r="L3" s="570" t="s">
        <v>285</v>
      </c>
      <c r="M3" s="571"/>
      <c r="N3" s="571"/>
      <c r="O3" s="571"/>
      <c r="P3" s="571"/>
      <c r="Q3" s="572"/>
    </row>
    <row r="4" spans="3:32" x14ac:dyDescent="0.25">
      <c r="C4" s="59" t="s">
        <v>225</v>
      </c>
      <c r="D4" s="373">
        <f>4290+12110+6110+10610+3490-7000-3000-3500</f>
        <v>23110</v>
      </c>
      <c r="E4" s="379" t="s">
        <v>49</v>
      </c>
      <c r="F4" s="380">
        <f>G4/D4</f>
        <v>8.2023265579904275E-2</v>
      </c>
      <c r="G4" s="381">
        <f>G3+H20</f>
        <v>1895.5576675515877</v>
      </c>
      <c r="H4" s="382">
        <f>G4/(G4+G5)</f>
        <v>0.23540590899621305</v>
      </c>
      <c r="J4" s="528">
        <f>K4/D4</f>
        <v>0.19166666666666668</v>
      </c>
      <c r="K4" s="531">
        <f>D4*COUNT(I8:AE8)/12*J5</f>
        <v>4429.416666666667</v>
      </c>
      <c r="L4" s="54" t="s">
        <v>400</v>
      </c>
      <c r="M4" s="430">
        <v>3244.67</v>
      </c>
      <c r="N4" s="248"/>
      <c r="O4" s="54" t="s">
        <v>415</v>
      </c>
      <c r="P4" s="430">
        <v>2192</v>
      </c>
      <c r="Q4" s="248" t="s">
        <v>288</v>
      </c>
    </row>
    <row r="5" spans="3:32" x14ac:dyDescent="0.25">
      <c r="C5" s="61" t="s">
        <v>226</v>
      </c>
      <c r="D5" s="374">
        <f>G3</f>
        <v>6662.843693192608</v>
      </c>
      <c r="E5" s="383" t="s">
        <v>121</v>
      </c>
      <c r="F5" s="384"/>
      <c r="G5" s="385">
        <f>Table2[[#Totals],[Fee]]+'Day Trade'!J129+(308.12+122.12+96.9+204.1+144.28+91.68+232.1+140.27+106.68/7.7+7.44+34)</f>
        <v>6156.7366679405659</v>
      </c>
      <c r="H5" s="386">
        <f>G5/(G3+G5)</f>
        <v>0.4802603903172028</v>
      </c>
      <c r="J5" s="529">
        <f>'Overall Summary'!M5</f>
        <v>0.1</v>
      </c>
      <c r="K5" s="532" t="s">
        <v>293</v>
      </c>
      <c r="L5" s="192" t="s">
        <v>244</v>
      </c>
      <c r="M5" s="502">
        <f>'Overall Summary'!P5</f>
        <v>4533</v>
      </c>
      <c r="N5" s="536">
        <f>(M5-M4)/M4</f>
        <v>0.39706040984137059</v>
      </c>
      <c r="O5" s="192" t="s">
        <v>244</v>
      </c>
      <c r="P5" s="502">
        <f>M5</f>
        <v>4533</v>
      </c>
      <c r="Q5" s="530">
        <f>(P5-P4)/P4</f>
        <v>1.0679744525547445</v>
      </c>
    </row>
    <row r="6" spans="3:32" x14ac:dyDescent="0.25">
      <c r="D6" s="40"/>
      <c r="J6" s="44"/>
      <c r="K6" s="45"/>
    </row>
    <row r="7" spans="3:32" x14ac:dyDescent="0.25">
      <c r="D7" s="40"/>
      <c r="F7" s="41"/>
      <c r="G7" s="42"/>
      <c r="H7" s="43"/>
      <c r="I7" s="44"/>
      <c r="J7" s="45"/>
    </row>
    <row r="8" spans="3:32" x14ac:dyDescent="0.25">
      <c r="C8" s="46" t="s">
        <v>15</v>
      </c>
      <c r="D8" s="356">
        <f>D9+D10</f>
        <v>63184.478076923086</v>
      </c>
      <c r="E8" s="102">
        <f>D8/D3</f>
        <v>2.12221844604551</v>
      </c>
      <c r="H8" s="127" t="s">
        <v>48</v>
      </c>
      <c r="I8" s="47">
        <v>43891</v>
      </c>
      <c r="J8" s="47">
        <v>43922</v>
      </c>
      <c r="K8" s="47">
        <v>43952</v>
      </c>
      <c r="L8" s="47">
        <v>43983</v>
      </c>
      <c r="M8" s="47">
        <v>44013</v>
      </c>
      <c r="N8" s="47">
        <v>44044</v>
      </c>
      <c r="O8" s="47">
        <v>44075</v>
      </c>
      <c r="P8" s="47">
        <v>44105</v>
      </c>
      <c r="Q8" s="47">
        <v>44136</v>
      </c>
      <c r="R8" s="462">
        <v>44166</v>
      </c>
      <c r="S8" s="47">
        <v>44197</v>
      </c>
      <c r="T8" s="47">
        <v>44228</v>
      </c>
      <c r="U8" s="47">
        <v>44256</v>
      </c>
      <c r="V8" s="47">
        <v>44287</v>
      </c>
      <c r="W8" s="47">
        <v>44317</v>
      </c>
      <c r="X8" s="47">
        <v>44348</v>
      </c>
      <c r="Y8" s="47">
        <v>44378</v>
      </c>
      <c r="Z8" s="47">
        <v>44409</v>
      </c>
      <c r="AA8" s="47">
        <v>44440</v>
      </c>
      <c r="AB8" s="47">
        <v>44470</v>
      </c>
      <c r="AC8" s="47">
        <v>44501</v>
      </c>
      <c r="AD8" s="47">
        <v>44531</v>
      </c>
      <c r="AE8" s="47">
        <v>44562</v>
      </c>
    </row>
    <row r="9" spans="3:32" x14ac:dyDescent="0.25">
      <c r="C9" s="103" t="s">
        <v>67</v>
      </c>
      <c r="D9" s="357">
        <f>+$K$210+$K$214</f>
        <v>3618.7980769230771</v>
      </c>
      <c r="E9" s="139">
        <f>D9/$D$8</f>
        <v>5.7273529624117817E-2</v>
      </c>
      <c r="F9" s="59"/>
      <c r="H9" s="46" t="s">
        <v>41</v>
      </c>
      <c r="I9" s="48">
        <f>L31+L32+L33</f>
        <v>51.019999999999968</v>
      </c>
      <c r="J9" s="48">
        <f>L35+L36</f>
        <v>211.59999999999985</v>
      </c>
      <c r="K9" s="48">
        <f>L38</f>
        <v>221.24000000000009</v>
      </c>
      <c r="L9" s="48">
        <f>L39+L30</f>
        <v>335.9443984476066</v>
      </c>
      <c r="M9" s="48">
        <f>L40+L41+L34</f>
        <v>177.16830530401052</v>
      </c>
      <c r="N9" s="48">
        <f>L37+L42+L43+L46</f>
        <v>1068.3600000000001</v>
      </c>
      <c r="O9" s="48">
        <f>L44+L45+L48+L47</f>
        <v>113.3600000000001</v>
      </c>
      <c r="P9" s="48">
        <f>L49</f>
        <v>232.2399999999999</v>
      </c>
      <c r="Q9" s="48">
        <f>L50+L51+L52+L53+L54+L55+L56+L57+L58+L59</f>
        <v>1035.7615384615387</v>
      </c>
      <c r="R9" s="463">
        <f>L60+L61+L62</f>
        <v>165.62000000000006</v>
      </c>
      <c r="S9" s="48">
        <f>L63+L64+L65+L66+L67+L68+L69+L70+L71+L72+L73+L74+L75+L76+L77+L78+L79+SUM('Day Trade'!E139:E150)</f>
        <v>-522.22180512819489</v>
      </c>
      <c r="T9" s="48">
        <f>-308.12+L80</f>
        <v>-358.88</v>
      </c>
      <c r="U9" s="48">
        <f>-122.12+SUM('Day Trade'!E151:E158)+SUM(L81:L100)</f>
        <v>2756.7900000000018</v>
      </c>
      <c r="V9" s="48">
        <f>-96.9-(36.48+7.51)+L101+L102+L103+L104+L105+L106+L107+SUM('Day Trade'!E159:E162)</f>
        <v>2030.1500000000037</v>
      </c>
      <c r="W9" s="48">
        <f>-204.1+L108+L109+L110+L111+'Day Trade'!E163</f>
        <v>971.89178461538597</v>
      </c>
      <c r="X9" s="48">
        <f>-144.28+L112+L113+L114+L115+L116+L117</f>
        <v>1944.5399999999972</v>
      </c>
      <c r="Y9" s="48">
        <f>-91.68+L118+L119+L120+L121+L122+L123+L124+L125+L126+L127+L128+L129+L130+SUM('Day Trade'!E164:E172)</f>
        <v>4089.5699999999965</v>
      </c>
      <c r="Z9" s="48">
        <f>-86.07+L131+L132+L133+L134+L135+L136+L137+L138+L139+L140+L141+L142+SUM('Day Trade'!E173:E180)</f>
        <v>-4491.3894871795019</v>
      </c>
      <c r="AA9" s="48">
        <f>-232.1+L143+L144+L145+L146+L147+L148+L149+'Day Trade'!E181</f>
        <v>292.81999999999812</v>
      </c>
      <c r="AB9" s="48">
        <f>-140.27-106.68/7.7-7.44-34+L150+L151+L152+L153+L154+L155+L156+L157+L158+L159+L160+L161+L162+L163+L164</f>
        <v>835.3245143745122</v>
      </c>
      <c r="AC9" s="48">
        <f>-2.38+L165+L166+L167+L168+L169</f>
        <v>524.05999999999972</v>
      </c>
      <c r="AD9" s="48">
        <f>-23.95+L170+L171+L172+L173+L174+'Day Trade'!E182</f>
        <v>638.31769230769305</v>
      </c>
      <c r="AE9" s="48">
        <f>-11.83-(7.45+34)+SUM(L175:L202)+SUM('Day Trade'!E183:E187)</f>
        <v>-5660.4432480104369</v>
      </c>
    </row>
    <row r="10" spans="3:32" x14ac:dyDescent="0.25">
      <c r="C10" s="103" t="s">
        <v>68</v>
      </c>
      <c r="D10" s="357">
        <f>+$K$212+$K$216+$K$218+$K$220</f>
        <v>59565.680000000008</v>
      </c>
      <c r="E10" s="139">
        <f>D10/$D$8</f>
        <v>0.9427264703758822</v>
      </c>
      <c r="F10" s="59"/>
      <c r="I10" s="46"/>
      <c r="J10" s="50">
        <f t="shared" ref="J10:O10" si="0">IF(J9=0,0,(J9-I9)/I9)</f>
        <v>3.1473931791454328</v>
      </c>
      <c r="K10" s="50">
        <f t="shared" si="0"/>
        <v>4.5557655954632556E-2</v>
      </c>
      <c r="L10" s="50">
        <f t="shared" si="0"/>
        <v>0.51846139236849786</v>
      </c>
      <c r="M10" s="50">
        <f t="shared" si="0"/>
        <v>-0.47262610681201334</v>
      </c>
      <c r="N10" s="50">
        <f t="shared" si="0"/>
        <v>5.0301982240376253</v>
      </c>
      <c r="O10" s="50">
        <f t="shared" si="0"/>
        <v>-0.89389344415740002</v>
      </c>
      <c r="P10" s="50">
        <f t="shared" ref="P10" si="1">IF(P9=0,0,(P9-O9)/O9)</f>
        <v>1.0486944248412111</v>
      </c>
      <c r="Q10" s="50">
        <f t="shared" ref="Q10:S10" si="2">IF(Q9=0,0,(Q9-P9)/P9)</f>
        <v>3.4598757253769343</v>
      </c>
      <c r="R10" s="464">
        <f t="shared" ref="R10" si="3">IF(R9=0,0,(R9-Q9)/Q9)</f>
        <v>-0.84009832973137555</v>
      </c>
      <c r="S10" s="50">
        <f t="shared" si="2"/>
        <v>-4.1531325028873001</v>
      </c>
      <c r="T10" s="50">
        <f>IF(T9=0,0,(S9-T9)/S9)</f>
        <v>0.31278242984912852</v>
      </c>
      <c r="U10" s="50">
        <f>IF(U9=0,0,(T9-U9)/T9)</f>
        <v>8.681648461881414</v>
      </c>
      <c r="V10" s="50">
        <f t="shared" ref="V10:AE10" si="4">IF(V9=0,0,(V9-U9)/U9)</f>
        <v>-0.2635819195513614</v>
      </c>
      <c r="W10" s="50">
        <f t="shared" si="4"/>
        <v>-0.52127094814896235</v>
      </c>
      <c r="X10" s="50">
        <f t="shared" si="4"/>
        <v>1.0007783076070806</v>
      </c>
      <c r="Y10" s="50">
        <f t="shared" si="4"/>
        <v>1.1031040760282649</v>
      </c>
      <c r="Z10" s="50">
        <f t="shared" si="4"/>
        <v>-2.0982547033501091</v>
      </c>
      <c r="AA10" s="50">
        <f t="shared" si="4"/>
        <v>-1.0651958599528812</v>
      </c>
      <c r="AB10" s="50">
        <f t="shared" si="4"/>
        <v>1.8526894145704444</v>
      </c>
      <c r="AC10" s="50">
        <f t="shared" si="4"/>
        <v>-0.37262705573484356</v>
      </c>
      <c r="AD10" s="50">
        <f t="shared" si="4"/>
        <v>0.21802406653378123</v>
      </c>
      <c r="AE10" s="50">
        <f t="shared" si="4"/>
        <v>-9.8677524001354033</v>
      </c>
    </row>
    <row r="11" spans="3:32" x14ac:dyDescent="0.25">
      <c r="C11" s="51" t="s">
        <v>29</v>
      </c>
      <c r="D11" s="339">
        <f>D3-D8</f>
        <v>-33411.634383730474</v>
      </c>
      <c r="E11" s="52">
        <f>D11/D3</f>
        <v>-1.12221844604551</v>
      </c>
      <c r="J11" s="53"/>
      <c r="Q11" s="39" t="s">
        <v>342</v>
      </c>
      <c r="R11" s="465">
        <f>SUM(I9:R9)</f>
        <v>3612.3142422131559</v>
      </c>
      <c r="AC11" s="39" t="s">
        <v>342</v>
      </c>
      <c r="AD11" s="465">
        <f>SUM(S9:AD9)</f>
        <v>8710.9726989898918</v>
      </c>
      <c r="AE11" s="39" t="s">
        <v>342</v>
      </c>
      <c r="AF11" s="49">
        <f>SUM(AE9)</f>
        <v>-5660.4432480104369</v>
      </c>
    </row>
    <row r="12" spans="3:32" x14ac:dyDescent="0.25">
      <c r="C12" s="368" t="s">
        <v>223</v>
      </c>
      <c r="D12" s="369">
        <f>IF(D11&lt;0,-D11,0)</f>
        <v>33411.634383730474</v>
      </c>
      <c r="E12" s="370">
        <f ca="1">TODAY()-1</f>
        <v>44648</v>
      </c>
      <c r="F12" s="367"/>
      <c r="J12" s="53"/>
      <c r="Q12" s="39" t="s">
        <v>388</v>
      </c>
      <c r="R12" s="480">
        <f>AVERAGE(I9:R9)</f>
        <v>361.23142422131559</v>
      </c>
      <c r="AC12" s="39" t="s">
        <v>388</v>
      </c>
      <c r="AD12" s="480">
        <f>AVERAGE(S9:AD9)</f>
        <v>725.91439158249102</v>
      </c>
      <c r="AE12" s="39" t="s">
        <v>388</v>
      </c>
      <c r="AF12" s="49">
        <f>AVERAGE(AE9)</f>
        <v>-5660.4432480104369</v>
      </c>
    </row>
    <row r="13" spans="3:32" x14ac:dyDescent="0.25">
      <c r="C13" s="368" t="s">
        <v>224</v>
      </c>
      <c r="D13" s="451">
        <f ca="1">E13*'Fee and Margin'!I5</f>
        <v>6.4967066857253704</v>
      </c>
      <c r="E13" s="371">
        <f ca="1">TODAY()-E12</f>
        <v>1</v>
      </c>
      <c r="J13" s="53"/>
      <c r="Q13" s="39" t="s">
        <v>343</v>
      </c>
      <c r="R13" s="481">
        <v>0.10906745900402041</v>
      </c>
      <c r="S13" s="49"/>
      <c r="T13" s="262"/>
      <c r="AC13" s="39" t="s">
        <v>343</v>
      </c>
      <c r="AD13" s="481">
        <f>AD11/D4</f>
        <v>0.37693520982215023</v>
      </c>
      <c r="AE13" s="39" t="s">
        <v>343</v>
      </c>
      <c r="AF13" s="323">
        <f>AF11/$D$4</f>
        <v>-0.24493480086587785</v>
      </c>
    </row>
    <row r="14" spans="3:32" x14ac:dyDescent="0.25">
      <c r="C14" s="54"/>
      <c r="D14" s="55"/>
      <c r="E14" s="56"/>
      <c r="J14" s="53"/>
      <c r="K14" s="262"/>
    </row>
    <row r="15" spans="3:32" x14ac:dyDescent="0.25">
      <c r="C15" s="54"/>
      <c r="D15" s="55"/>
      <c r="E15" s="56"/>
      <c r="J15" s="53"/>
      <c r="S15" s="100"/>
      <c r="T15" s="130"/>
      <c r="AE15" s="39" t="s">
        <v>5</v>
      </c>
      <c r="AF15" s="49">
        <f>SUM(I9:AE9)</f>
        <v>6662.843693192608</v>
      </c>
    </row>
    <row r="16" spans="3:32" ht="30" x14ac:dyDescent="0.25">
      <c r="D16" s="278" t="s">
        <v>140</v>
      </c>
      <c r="E16" s="119" t="s">
        <v>42</v>
      </c>
      <c r="F16" s="198" t="s">
        <v>69</v>
      </c>
      <c r="G16" s="577" t="s">
        <v>72</v>
      </c>
      <c r="H16" s="577"/>
      <c r="J16" s="127" t="s">
        <v>19</v>
      </c>
      <c r="K16" s="201" t="s">
        <v>71</v>
      </c>
      <c r="L16" s="570" t="s">
        <v>59</v>
      </c>
      <c r="M16" s="572"/>
      <c r="AE16" s="39" t="s">
        <v>70</v>
      </c>
      <c r="AF16" s="100">
        <f>AF15/COUNT(I8:AD8)</f>
        <v>302.85653150875493</v>
      </c>
    </row>
    <row r="17" spans="2:32" x14ac:dyDescent="0.25">
      <c r="C17" s="57" t="s">
        <v>36</v>
      </c>
      <c r="D17" s="46" t="s">
        <v>37</v>
      </c>
      <c r="E17" s="137">
        <f>+K214+K216+K210+K218</f>
        <v>39065.198076923079</v>
      </c>
      <c r="F17" s="99">
        <f>E17/D8</f>
        <v>0.6182720703867125</v>
      </c>
      <c r="G17" s="63">
        <f>IF(E17=0,0,H17/E17)</f>
        <v>8.9414469817379133E-2</v>
      </c>
      <c r="H17" s="64">
        <f>+M214+M216+M210+M218</f>
        <v>3492.9939743589762</v>
      </c>
      <c r="J17" s="128" t="s">
        <v>51</v>
      </c>
      <c r="K17" s="195">
        <f>L30+L34+L36+L40+L44+L56+L58+L64+L68+L71+L73+L74+L83+L89+L90+L91+L92+L95+L96+L97+L100+L104+L106+L111+L113+L115+L116+L120+L121+L122+L123+L124+L127+L128+L129+'Day Trade'!E137</f>
        <v>3926.8368389801699</v>
      </c>
      <c r="L17" s="128">
        <v>35</v>
      </c>
      <c r="M17" s="129">
        <f>L17/$L$21</f>
        <v>0.34653465346534651</v>
      </c>
      <c r="Q17" s="289"/>
      <c r="R17" s="289"/>
      <c r="AE17" s="39" t="s">
        <v>344</v>
      </c>
      <c r="AF17" s="101">
        <f>SUM(I9:AE9)/$D$4</f>
        <v>0.2883099823969108</v>
      </c>
    </row>
    <row r="18" spans="2:32" x14ac:dyDescent="0.25">
      <c r="C18" s="59"/>
      <c r="D18" s="46" t="s">
        <v>38</v>
      </c>
      <c r="E18" s="137">
        <f>+K212+K220</f>
        <v>24119.279999999999</v>
      </c>
      <c r="F18" s="99">
        <f>E18/D8</f>
        <v>0.38172792961328744</v>
      </c>
      <c r="G18" s="63">
        <f t="shared" ref="G18:G20" si="5">IF(E18=0,0,H18/E18)</f>
        <v>-0.34247622648768938</v>
      </c>
      <c r="H18" s="64">
        <f>+M212+M220</f>
        <v>-8260.279999999997</v>
      </c>
      <c r="J18" s="65" t="s">
        <v>52</v>
      </c>
      <c r="K18" s="196">
        <f>L32+L33+L35+L37+L38+L39+L41+L42+L43+L45+L46+L49+L50+L51+L52+L53+L54+L55+L57+L59+L60+L61+L62+L63+L65+L66+L67+L69+L70+L72+L76+L82+L93+L101+L102+L103+L107+L108+L112+L114+L117+L118+L119+L125+L130</f>
        <v>13577.642871794867</v>
      </c>
      <c r="L18" s="65">
        <v>45</v>
      </c>
      <c r="M18" s="68">
        <f>L18/$L$21</f>
        <v>0.44554455445544555</v>
      </c>
      <c r="Q18" s="289"/>
      <c r="R18" s="289"/>
    </row>
    <row r="19" spans="2:32" x14ac:dyDescent="0.25">
      <c r="C19" s="61"/>
      <c r="D19" s="46" t="s">
        <v>39</v>
      </c>
      <c r="E19" s="137">
        <v>0</v>
      </c>
      <c r="F19" s="99">
        <f>E19/D8</f>
        <v>0</v>
      </c>
      <c r="G19" s="63">
        <f t="shared" si="5"/>
        <v>0</v>
      </c>
      <c r="H19" s="64">
        <v>0</v>
      </c>
      <c r="J19" s="69" t="s">
        <v>53</v>
      </c>
      <c r="K19" s="527">
        <f>L31+L47+L75+L48+L77+L78+L79+L80+L81+L84+L85+L86+L87+L88+L94+L98+L99+L105+L109+L110+L126</f>
        <v>-2930.2482153846145</v>
      </c>
      <c r="L19" s="69">
        <v>21</v>
      </c>
      <c r="M19" s="71">
        <f>L19/$L$21</f>
        <v>0.20792079207920791</v>
      </c>
    </row>
    <row r="20" spans="2:32" x14ac:dyDescent="0.25">
      <c r="D20" s="46" t="s">
        <v>5</v>
      </c>
      <c r="E20" s="138">
        <f>SUM(E17:E19)</f>
        <v>63184.478076923078</v>
      </c>
      <c r="F20" s="50">
        <f>SUM(F17:F19)</f>
        <v>1</v>
      </c>
      <c r="G20" s="63">
        <f t="shared" si="5"/>
        <v>-7.5450271502395777E-2</v>
      </c>
      <c r="H20" s="64">
        <f>SUM(H17:H19)</f>
        <v>-4767.2860256410204</v>
      </c>
      <c r="I20" s="101"/>
      <c r="J20" s="46" t="s">
        <v>398</v>
      </c>
      <c r="K20" s="200">
        <f>-308.12-122.12-96.9-(36.48+7.51)-204.1-144.28-91.68</f>
        <v>-1011.19</v>
      </c>
      <c r="L20" s="46"/>
      <c r="M20" s="46"/>
    </row>
    <row r="21" spans="2:32" x14ac:dyDescent="0.25">
      <c r="D21" s="59"/>
      <c r="E21" s="54"/>
      <c r="F21" s="54"/>
      <c r="G21" s="54"/>
      <c r="H21" s="104">
        <f>H20/E20</f>
        <v>-7.5450271502395777E-2</v>
      </c>
      <c r="J21" s="46" t="s">
        <v>5</v>
      </c>
      <c r="K21" s="200">
        <f>SUM(K17:K20)</f>
        <v>13563.041495390424</v>
      </c>
      <c r="L21" s="46">
        <f>SUM(L17:L19)</f>
        <v>101</v>
      </c>
      <c r="M21" s="85">
        <f>SUM(M17:M19)</f>
        <v>1</v>
      </c>
    </row>
    <row r="22" spans="2:32" x14ac:dyDescent="0.25">
      <c r="D22" s="61"/>
      <c r="E22" s="192"/>
      <c r="F22" s="192"/>
      <c r="G22" s="192"/>
      <c r="H22" s="193"/>
      <c r="J22" s="96"/>
      <c r="K22" s="98"/>
      <c r="L22" s="98"/>
      <c r="M22" s="199"/>
      <c r="T22" s="280"/>
    </row>
    <row r="23" spans="2:32" x14ac:dyDescent="0.25">
      <c r="D23" s="46" t="s">
        <v>73</v>
      </c>
      <c r="E23" s="137">
        <f>+K212+K210+K214</f>
        <v>10831.318076923077</v>
      </c>
      <c r="F23" s="63">
        <f>E23/(E23+E24)</f>
        <v>0.23405039243549564</v>
      </c>
      <c r="G23" s="64">
        <f>+M212+M210+M214</f>
        <v>-4048.0360256410263</v>
      </c>
      <c r="H23" s="104">
        <f>IF(E23=0,0,G23/E23)</f>
        <v>-0.37373438734715642</v>
      </c>
      <c r="J23" s="46" t="s">
        <v>73</v>
      </c>
      <c r="K23" s="200">
        <v>3353.0583217003314</v>
      </c>
      <c r="L23" s="200">
        <v>17</v>
      </c>
      <c r="M23" s="50">
        <f>K23/$K$25</f>
        <v>0.23946844532495815</v>
      </c>
    </row>
    <row r="24" spans="2:32" x14ac:dyDescent="0.25">
      <c r="D24" s="51" t="s">
        <v>74</v>
      </c>
      <c r="E24" s="133">
        <f>K216+K218</f>
        <v>35446.400000000001</v>
      </c>
      <c r="F24" s="144">
        <f>E24/(E23+E24)</f>
        <v>0.76594960756450436</v>
      </c>
      <c r="G24" s="64">
        <f>M216+M218</f>
        <v>4570.510000000002</v>
      </c>
      <c r="H24" s="104">
        <f>IF(E24=0,0,G24/E24)</f>
        <v>0.12894144398302795</v>
      </c>
      <c r="J24" s="46" t="s">
        <v>74</v>
      </c>
      <c r="K24" s="197">
        <v>10649.030000000002</v>
      </c>
      <c r="L24" s="200">
        <v>27</v>
      </c>
      <c r="M24" s="50">
        <f>K24/$K$25</f>
        <v>0.76053155467504185</v>
      </c>
    </row>
    <row r="25" spans="2:32" x14ac:dyDescent="0.25">
      <c r="E25" s="137">
        <f>SUM(E23:E24)</f>
        <v>46277.718076923076</v>
      </c>
      <c r="F25" s="63">
        <f t="shared" ref="F25:G25" si="6">SUM(F23:F24)</f>
        <v>1</v>
      </c>
      <c r="G25" s="64">
        <f t="shared" si="6"/>
        <v>522.47397435897574</v>
      </c>
      <c r="H25" s="104">
        <f>IF(E25=0,0,G25/E25)</f>
        <v>1.1289968392359292E-2</v>
      </c>
      <c r="J25" s="46" t="s">
        <v>5</v>
      </c>
      <c r="K25" s="197">
        <f>SUM(K23:K24)</f>
        <v>14002.088321700334</v>
      </c>
      <c r="L25" s="200"/>
      <c r="M25" s="50">
        <f t="shared" ref="M25" si="7">SUM(M23:M24)</f>
        <v>1</v>
      </c>
    </row>
    <row r="26" spans="2:32" s="54" customFormat="1" x14ac:dyDescent="0.25"/>
    <row r="27" spans="2:32" x14ac:dyDescent="0.25">
      <c r="H27" s="140"/>
    </row>
    <row r="28" spans="2:32" x14ac:dyDescent="0.25">
      <c r="B28" s="576" t="s">
        <v>81</v>
      </c>
      <c r="C28" s="576"/>
    </row>
    <row r="29" spans="2:32" x14ac:dyDescent="0.25">
      <c r="B29" s="226" t="s">
        <v>50</v>
      </c>
      <c r="C29" s="227" t="s">
        <v>0</v>
      </c>
      <c r="D29" s="228" t="s">
        <v>1</v>
      </c>
      <c r="E29" s="228" t="s">
        <v>11</v>
      </c>
      <c r="F29" s="228" t="s">
        <v>2</v>
      </c>
      <c r="G29" s="228" t="s">
        <v>3</v>
      </c>
      <c r="H29" s="228" t="s">
        <v>4</v>
      </c>
      <c r="I29" s="228" t="s">
        <v>6</v>
      </c>
      <c r="J29" s="228" t="s">
        <v>15</v>
      </c>
      <c r="K29" s="228" t="s">
        <v>8</v>
      </c>
      <c r="L29" s="229" t="s">
        <v>9</v>
      </c>
      <c r="M29" s="226" t="s">
        <v>77</v>
      </c>
      <c r="N29" s="228" t="s">
        <v>56</v>
      </c>
      <c r="O29" s="229" t="s">
        <v>55</v>
      </c>
      <c r="P29" s="229" t="s">
        <v>79</v>
      </c>
      <c r="Q29" s="228" t="s">
        <v>80</v>
      </c>
    </row>
    <row r="30" spans="2:32" x14ac:dyDescent="0.25">
      <c r="B30" s="220">
        <v>1</v>
      </c>
      <c r="C30" s="121" t="e" vm="1">
        <v>#VALUE!</v>
      </c>
      <c r="D30" s="121" t="s">
        <v>7</v>
      </c>
      <c r="E30" s="120" t="s">
        <v>12</v>
      </c>
      <c r="F30" s="122">
        <v>216</v>
      </c>
      <c r="G30" s="187">
        <v>100</v>
      </c>
      <c r="H30" s="122">
        <f>(I30-F30)*G30*2/7.73</f>
        <v>27.33764553686942</v>
      </c>
      <c r="I30" s="122">
        <v>217.0566</v>
      </c>
      <c r="J30" s="244">
        <f t="shared" ref="J30:J61" si="8">I30*G30</f>
        <v>21705.66</v>
      </c>
      <c r="K30" s="122" cm="1">
        <f t="array" ref="K30">_FV(C30,"Price")</f>
        <v>113.5</v>
      </c>
      <c r="L30" s="124">
        <f>(N30-I30)*G30/7.73</f>
        <v>12.204398447606687</v>
      </c>
      <c r="M30" s="125">
        <f>L30*7.8/J30</f>
        <v>4.3856905475959801E-3</v>
      </c>
      <c r="N30" s="123">
        <v>218</v>
      </c>
      <c r="O30" s="223">
        <v>43885</v>
      </c>
      <c r="P30" s="223">
        <v>44004</v>
      </c>
      <c r="Q30" s="237">
        <f>Table2[[#This Row],[Close Date]]-Table2[[#This Row],[Open Date]]</f>
        <v>119</v>
      </c>
    </row>
    <row r="31" spans="2:32" x14ac:dyDescent="0.25">
      <c r="B31" s="221">
        <v>2</v>
      </c>
      <c r="C31" s="69" t="e" vm="2">
        <v>#VALUE!</v>
      </c>
      <c r="D31" s="69" t="s">
        <v>10</v>
      </c>
      <c r="E31" s="116" t="s">
        <v>13</v>
      </c>
      <c r="F31" s="173">
        <v>55.07</v>
      </c>
      <c r="G31" s="188">
        <v>10</v>
      </c>
      <c r="H31" s="173">
        <v>21.76</v>
      </c>
      <c r="I31" s="173">
        <f>((F31*G31)+H31)/G31</f>
        <v>57.246000000000002</v>
      </c>
      <c r="J31" s="245">
        <f t="shared" si="8"/>
        <v>572.46</v>
      </c>
      <c r="K31" s="173" cm="1">
        <f t="array" ref="K31">_FV(C31,"Price")</f>
        <v>120.24</v>
      </c>
      <c r="L31" s="70">
        <f>(N31-I31)*G31</f>
        <v>-105.46</v>
      </c>
      <c r="M31" s="71">
        <f>L31/J31</f>
        <v>-0.18422247842644024</v>
      </c>
      <c r="N31" s="173">
        <v>46.7</v>
      </c>
      <c r="O31" s="224">
        <v>43886</v>
      </c>
      <c r="P31" s="224">
        <v>43916</v>
      </c>
      <c r="Q31" s="238">
        <f>Table2[[#This Row],[Close Date]]-Table2[[#This Row],[Open Date]]</f>
        <v>30</v>
      </c>
    </row>
    <row r="32" spans="2:32" x14ac:dyDescent="0.25">
      <c r="B32" s="222">
        <v>3</v>
      </c>
      <c r="C32" s="65" t="e" vm="3">
        <v>#VALUE!</v>
      </c>
      <c r="D32" s="65" t="s">
        <v>10</v>
      </c>
      <c r="E32" s="115" t="s">
        <v>13</v>
      </c>
      <c r="F32" s="66">
        <v>85</v>
      </c>
      <c r="G32" s="189">
        <v>10</v>
      </c>
      <c r="H32" s="66">
        <f>10.88*2</f>
        <v>21.76</v>
      </c>
      <c r="I32" s="66">
        <f>((F32*G32)+H32)/G32</f>
        <v>87.176000000000002</v>
      </c>
      <c r="J32" s="246">
        <f t="shared" si="8"/>
        <v>871.76</v>
      </c>
      <c r="K32" s="66" cm="1">
        <f t="array" ref="K32">_FV(C32,"Price")</f>
        <v>138.72</v>
      </c>
      <c r="L32" s="67">
        <f>(N32-I32)*G32</f>
        <v>48.239999999999981</v>
      </c>
      <c r="M32" s="72">
        <f>L32/J32</f>
        <v>5.5336331100302817E-2</v>
      </c>
      <c r="N32" s="66">
        <v>92</v>
      </c>
      <c r="O32" s="225">
        <v>43909</v>
      </c>
      <c r="P32" s="225">
        <v>43913</v>
      </c>
      <c r="Q32" s="239">
        <f>Table2[[#This Row],[Close Date]]-Table2[[#This Row],[Open Date]]</f>
        <v>4</v>
      </c>
    </row>
    <row r="33" spans="2:19" x14ac:dyDescent="0.25">
      <c r="B33" s="222">
        <v>4</v>
      </c>
      <c r="C33" s="65" t="e" vm="4">
        <v>#VALUE!</v>
      </c>
      <c r="D33" s="65" t="s">
        <v>10</v>
      </c>
      <c r="E33" s="115" t="s">
        <v>13</v>
      </c>
      <c r="F33" s="66">
        <v>47</v>
      </c>
      <c r="G33" s="189">
        <v>20</v>
      </c>
      <c r="H33" s="66">
        <f>10.88*2</f>
        <v>21.76</v>
      </c>
      <c r="I33" s="66">
        <f>((F33*G33)+H33)/G33</f>
        <v>48.088000000000001</v>
      </c>
      <c r="J33" s="246">
        <f t="shared" si="8"/>
        <v>961.76</v>
      </c>
      <c r="K33" s="66" cm="1">
        <f t="array" ref="K33">_FV(C33,"Price")</f>
        <v>51.51</v>
      </c>
      <c r="L33" s="67">
        <f>(N33-I33)*G33</f>
        <v>108.23999999999998</v>
      </c>
      <c r="M33" s="72">
        <f>L33/J33</f>
        <v>0.11254366993844617</v>
      </c>
      <c r="N33" s="66">
        <v>53.5</v>
      </c>
      <c r="O33" s="225">
        <v>43910</v>
      </c>
      <c r="P33" s="225">
        <v>43916</v>
      </c>
      <c r="Q33" s="239">
        <f>Table2[[#This Row],[Close Date]]-Table2[[#This Row],[Open Date]]</f>
        <v>6</v>
      </c>
    </row>
    <row r="34" spans="2:19" x14ac:dyDescent="0.25">
      <c r="B34" s="220">
        <v>5</v>
      </c>
      <c r="C34" s="121" t="e" vm="5">
        <v>#VALUE!</v>
      </c>
      <c r="D34" s="121" t="s">
        <v>7</v>
      </c>
      <c r="E34" s="120" t="s">
        <v>12</v>
      </c>
      <c r="F34" s="122">
        <v>2.8</v>
      </c>
      <c r="G34" s="187">
        <v>1000</v>
      </c>
      <c r="H34" s="122">
        <f>85.22*2/7.73</f>
        <v>22.049159120310478</v>
      </c>
      <c r="I34" s="122">
        <v>2.97</v>
      </c>
      <c r="J34" s="244">
        <f t="shared" si="8"/>
        <v>2970</v>
      </c>
      <c r="K34" s="122" cm="1">
        <f t="array" ref="K34">_FV(C34,"Price")</f>
        <v>3.05</v>
      </c>
      <c r="L34" s="124">
        <f>(N34-I34)*G34/7.73</f>
        <v>6.4683053040103262</v>
      </c>
      <c r="M34" s="125">
        <f>L34*7.8/J34</f>
        <v>1.6987468475178635E-2</v>
      </c>
      <c r="N34" s="122">
        <v>3.02</v>
      </c>
      <c r="O34" s="223">
        <v>43913</v>
      </c>
      <c r="P34" s="223">
        <v>44019</v>
      </c>
      <c r="Q34" s="237">
        <f>Table2[[#This Row],[Close Date]]-Table2[[#This Row],[Open Date]]</f>
        <v>106</v>
      </c>
    </row>
    <row r="35" spans="2:19" x14ac:dyDescent="0.25">
      <c r="B35" s="222">
        <v>6</v>
      </c>
      <c r="C35" s="65" t="e" vm="6">
        <v>#VALUE!</v>
      </c>
      <c r="D35" s="65" t="s">
        <v>10</v>
      </c>
      <c r="E35" s="115" t="s">
        <v>13</v>
      </c>
      <c r="F35" s="66">
        <v>65.7</v>
      </c>
      <c r="G35" s="189">
        <v>20</v>
      </c>
      <c r="H35" s="66">
        <f>10.88*2</f>
        <v>21.76</v>
      </c>
      <c r="I35" s="66">
        <f t="shared" ref="I35:I57" si="9">((F35*G35)+H35)/G35</f>
        <v>66.787999999999997</v>
      </c>
      <c r="J35" s="246">
        <f t="shared" si="8"/>
        <v>1335.76</v>
      </c>
      <c r="K35" s="66" cm="1">
        <f t="array" ref="K35">_FV(C35,"Price")</f>
        <v>158.44999999999999</v>
      </c>
      <c r="L35" s="67">
        <f t="shared" ref="L35:L57" si="10">(N35-I35)*G35</f>
        <v>116.23999999999995</v>
      </c>
      <c r="M35" s="72">
        <f t="shared" ref="M35:M57" si="11">L35/J35</f>
        <v>8.7021620650416201E-2</v>
      </c>
      <c r="N35" s="66">
        <v>72.599999999999994</v>
      </c>
      <c r="O35" s="225">
        <v>43915</v>
      </c>
      <c r="P35" s="225">
        <v>43930</v>
      </c>
      <c r="Q35" s="239">
        <f>Table2[[#This Row],[Close Date]]-Table2[[#This Row],[Open Date]]</f>
        <v>15</v>
      </c>
      <c r="S35" s="39" t="s">
        <v>32</v>
      </c>
    </row>
    <row r="36" spans="2:19" x14ac:dyDescent="0.25">
      <c r="B36" s="220">
        <v>7</v>
      </c>
      <c r="C36" s="121" t="e" vm="7">
        <v>#VALUE!</v>
      </c>
      <c r="D36" s="121" t="s">
        <v>10</v>
      </c>
      <c r="E36" s="120" t="s">
        <v>13</v>
      </c>
      <c r="F36" s="122">
        <f>(156*10+194*2)/12</f>
        <v>162.33333333333334</v>
      </c>
      <c r="G36" s="187">
        <v>12</v>
      </c>
      <c r="H36" s="122">
        <f>10.88*3</f>
        <v>32.64</v>
      </c>
      <c r="I36" s="122">
        <f t="shared" si="9"/>
        <v>165.05333333333334</v>
      </c>
      <c r="J36" s="244">
        <f t="shared" si="8"/>
        <v>1980.64</v>
      </c>
      <c r="K36" s="122" cm="1">
        <f t="array" ref="K36">_FV(C36,"Price")</f>
        <v>223.59</v>
      </c>
      <c r="L36" s="124">
        <f t="shared" si="10"/>
        <v>95.3599999999999</v>
      </c>
      <c r="M36" s="125">
        <f t="shared" si="11"/>
        <v>4.8146053800791608E-2</v>
      </c>
      <c r="N36" s="122">
        <v>173</v>
      </c>
      <c r="O36" s="223">
        <v>43915</v>
      </c>
      <c r="P36" s="223">
        <v>43930</v>
      </c>
      <c r="Q36" s="237">
        <f>Table2[[#This Row],[Close Date]]-Table2[[#This Row],[Open Date]]</f>
        <v>15</v>
      </c>
    </row>
    <row r="37" spans="2:19" x14ac:dyDescent="0.25">
      <c r="B37" s="222">
        <v>8</v>
      </c>
      <c r="C37" s="65" t="e" vm="8">
        <v>#VALUE!</v>
      </c>
      <c r="D37" s="65" t="s">
        <v>21</v>
      </c>
      <c r="E37" s="115" t="s">
        <v>13</v>
      </c>
      <c r="F37" s="66">
        <f>(185+174.5)/2</f>
        <v>179.75</v>
      </c>
      <c r="G37" s="189">
        <v>10</v>
      </c>
      <c r="H37" s="66">
        <f>10.88*2</f>
        <v>21.76</v>
      </c>
      <c r="I37" s="66">
        <f t="shared" si="9"/>
        <v>181.92599999999999</v>
      </c>
      <c r="J37" s="246">
        <f t="shared" si="8"/>
        <v>1819.2599999999998</v>
      </c>
      <c r="K37" s="66" cm="1">
        <f t="array" ref="K37">_FV(C37,"Price")</f>
        <v>359.57</v>
      </c>
      <c r="L37" s="67">
        <f t="shared" si="10"/>
        <v>310.74000000000012</v>
      </c>
      <c r="M37" s="68">
        <f t="shared" si="11"/>
        <v>0.17080571221265797</v>
      </c>
      <c r="N37" s="66">
        <v>213</v>
      </c>
      <c r="O37" s="225">
        <v>43945</v>
      </c>
      <c r="P37" s="225">
        <v>44060</v>
      </c>
      <c r="Q37" s="239">
        <f>Table2[[#This Row],[Close Date]]-Table2[[#This Row],[Open Date]]</f>
        <v>115</v>
      </c>
      <c r="S37" s="73"/>
    </row>
    <row r="38" spans="2:19" x14ac:dyDescent="0.25">
      <c r="B38" s="222">
        <v>9</v>
      </c>
      <c r="C38" s="65" t="e" vm="3">
        <v>#VALUE!</v>
      </c>
      <c r="D38" s="65" t="s">
        <v>21</v>
      </c>
      <c r="E38" s="115" t="s">
        <v>13</v>
      </c>
      <c r="F38" s="66">
        <v>105.8</v>
      </c>
      <c r="G38" s="189">
        <v>15</v>
      </c>
      <c r="H38" s="66">
        <f>10.88*2</f>
        <v>21.76</v>
      </c>
      <c r="I38" s="66">
        <f t="shared" si="9"/>
        <v>107.25066666666666</v>
      </c>
      <c r="J38" s="246">
        <f t="shared" si="8"/>
        <v>1608.76</v>
      </c>
      <c r="K38" s="66" cm="1">
        <f t="array" ref="K38">_FV(C38,"Price")</f>
        <v>138.72</v>
      </c>
      <c r="L38" s="67">
        <f t="shared" si="10"/>
        <v>221.24000000000009</v>
      </c>
      <c r="M38" s="68">
        <f t="shared" si="11"/>
        <v>0.13752206668490022</v>
      </c>
      <c r="N38" s="66">
        <v>122</v>
      </c>
      <c r="O38" s="225">
        <v>43977</v>
      </c>
      <c r="P38" s="225">
        <v>43979</v>
      </c>
      <c r="Q38" s="239">
        <f>Table2[[#This Row],[Close Date]]-Table2[[#This Row],[Open Date]]</f>
        <v>2</v>
      </c>
      <c r="S38" s="73"/>
    </row>
    <row r="39" spans="2:19" x14ac:dyDescent="0.25">
      <c r="B39" s="222">
        <v>10</v>
      </c>
      <c r="C39" s="65" t="e" vm="9">
        <v>#VALUE!</v>
      </c>
      <c r="D39" s="65" t="s">
        <v>21</v>
      </c>
      <c r="E39" s="115" t="s">
        <v>13</v>
      </c>
      <c r="F39" s="66">
        <v>27.5</v>
      </c>
      <c r="G39" s="189">
        <v>50</v>
      </c>
      <c r="H39" s="66">
        <f>8.88*2</f>
        <v>17.760000000000002</v>
      </c>
      <c r="I39" s="66">
        <f t="shared" si="9"/>
        <v>27.8552</v>
      </c>
      <c r="J39" s="246">
        <f t="shared" si="8"/>
        <v>1392.76</v>
      </c>
      <c r="K39" s="66" cm="1">
        <f t="array" ref="K39">_FV(C39,"Price")</f>
        <v>55.93</v>
      </c>
      <c r="L39" s="67">
        <f t="shared" si="10"/>
        <v>323.7399999999999</v>
      </c>
      <c r="M39" s="68">
        <f t="shared" si="11"/>
        <v>0.23244492949251838</v>
      </c>
      <c r="N39" s="66">
        <v>34.33</v>
      </c>
      <c r="O39" s="225">
        <v>43991</v>
      </c>
      <c r="P39" s="225">
        <v>43993</v>
      </c>
      <c r="Q39" s="239">
        <f>Table2[[#This Row],[Close Date]]-Table2[[#This Row],[Open Date]]</f>
        <v>2</v>
      </c>
      <c r="R39" s="74"/>
      <c r="S39" s="73"/>
    </row>
    <row r="40" spans="2:19" x14ac:dyDescent="0.25">
      <c r="B40" s="220">
        <v>11</v>
      </c>
      <c r="C40" s="121" t="e" vm="10">
        <v>#VALUE!</v>
      </c>
      <c r="D40" s="121" t="s">
        <v>21</v>
      </c>
      <c r="E40" s="120" t="s">
        <v>13</v>
      </c>
      <c r="F40" s="122">
        <f>(57.5*20+48*25)/(20+25)</f>
        <v>52.222222222222221</v>
      </c>
      <c r="G40" s="187">
        <f>20+25</f>
        <v>45</v>
      </c>
      <c r="H40" s="122">
        <f>8.88*3</f>
        <v>26.64</v>
      </c>
      <c r="I40" s="122">
        <f t="shared" si="9"/>
        <v>52.81422222222222</v>
      </c>
      <c r="J40" s="244">
        <f t="shared" si="8"/>
        <v>2376.64</v>
      </c>
      <c r="K40" s="122" cm="1">
        <f t="array" ref="K40">_FV(C40,"Price")</f>
        <v>78.540000000000006</v>
      </c>
      <c r="L40" s="124">
        <f t="shared" si="10"/>
        <v>88.46000000000015</v>
      </c>
      <c r="M40" s="125">
        <f t="shared" si="11"/>
        <v>3.7220613976033455E-2</v>
      </c>
      <c r="N40" s="122">
        <v>54.78</v>
      </c>
      <c r="O40" s="223">
        <v>43999</v>
      </c>
      <c r="P40" s="223">
        <v>44029</v>
      </c>
      <c r="Q40" s="237">
        <f>Table2[[#This Row],[Close Date]]-Table2[[#This Row],[Open Date]]</f>
        <v>30</v>
      </c>
      <c r="S40" s="73"/>
    </row>
    <row r="41" spans="2:19" x14ac:dyDescent="0.25">
      <c r="B41" s="222">
        <v>12</v>
      </c>
      <c r="C41" s="65" t="e" vm="7">
        <v>#VALUE!</v>
      </c>
      <c r="D41" s="65" t="s">
        <v>10</v>
      </c>
      <c r="E41" s="115" t="s">
        <v>13</v>
      </c>
      <c r="F41" s="66">
        <v>228</v>
      </c>
      <c r="G41" s="189">
        <v>5</v>
      </c>
      <c r="H41" s="66">
        <f t="shared" ref="H41:H53" si="12">8.88*2</f>
        <v>17.760000000000002</v>
      </c>
      <c r="I41" s="66">
        <f t="shared" si="9"/>
        <v>231.55199999999999</v>
      </c>
      <c r="J41" s="246">
        <f t="shared" si="8"/>
        <v>1157.76</v>
      </c>
      <c r="K41" s="66" cm="1">
        <f t="array" ref="K41">_FV(C41,"Price")</f>
        <v>223.59</v>
      </c>
      <c r="L41" s="67">
        <f t="shared" si="10"/>
        <v>82.240000000000038</v>
      </c>
      <c r="M41" s="68">
        <f t="shared" si="11"/>
        <v>7.1033720287451668E-2</v>
      </c>
      <c r="N41" s="66">
        <v>248</v>
      </c>
      <c r="O41" s="225">
        <v>44008</v>
      </c>
      <c r="P41" s="225">
        <v>44027</v>
      </c>
      <c r="Q41" s="239">
        <f>Table2[[#This Row],[Close Date]]-Table2[[#This Row],[Open Date]]</f>
        <v>19</v>
      </c>
      <c r="R41" s="74"/>
      <c r="S41" s="43"/>
    </row>
    <row r="42" spans="2:19" x14ac:dyDescent="0.25">
      <c r="B42" s="222">
        <v>13</v>
      </c>
      <c r="C42" s="65" t="e" vm="11">
        <v>#VALUE!</v>
      </c>
      <c r="D42" s="65" t="s">
        <v>10</v>
      </c>
      <c r="E42" s="115" t="s">
        <v>13</v>
      </c>
      <c r="F42" s="66">
        <v>16.68</v>
      </c>
      <c r="G42" s="189">
        <v>80</v>
      </c>
      <c r="H42" s="66">
        <f t="shared" si="12"/>
        <v>17.760000000000002</v>
      </c>
      <c r="I42" s="66">
        <f t="shared" si="9"/>
        <v>16.902000000000001</v>
      </c>
      <c r="J42" s="246">
        <f t="shared" si="8"/>
        <v>1352.16</v>
      </c>
      <c r="K42" s="66" cm="1">
        <f t="array" ref="K42">_FV(C42,"Price")</f>
        <v>26.48</v>
      </c>
      <c r="L42" s="67">
        <f t="shared" si="10"/>
        <v>200.63999999999993</v>
      </c>
      <c r="M42" s="72">
        <f t="shared" si="11"/>
        <v>0.14838480653177133</v>
      </c>
      <c r="N42" s="66">
        <v>19.41</v>
      </c>
      <c r="O42" s="225">
        <v>44043</v>
      </c>
      <c r="P42" s="225">
        <v>44054</v>
      </c>
      <c r="Q42" s="239">
        <f>Table2[[#This Row],[Close Date]]-Table2[[#This Row],[Open Date]]</f>
        <v>11</v>
      </c>
      <c r="S42" s="43"/>
    </row>
    <row r="43" spans="2:19" x14ac:dyDescent="0.25">
      <c r="B43" s="222">
        <v>14</v>
      </c>
      <c r="C43" s="65" t="e" vm="11">
        <v>#VALUE!</v>
      </c>
      <c r="D43" s="65" t="s">
        <v>10</v>
      </c>
      <c r="E43" s="115" t="s">
        <v>13</v>
      </c>
      <c r="F43" s="66">
        <v>15</v>
      </c>
      <c r="G43" s="189">
        <v>40</v>
      </c>
      <c r="H43" s="66">
        <f t="shared" si="12"/>
        <v>17.760000000000002</v>
      </c>
      <c r="I43" s="66">
        <f t="shared" si="9"/>
        <v>15.443999999999999</v>
      </c>
      <c r="J43" s="246">
        <f t="shared" si="8"/>
        <v>617.76</v>
      </c>
      <c r="K43" s="66" cm="1">
        <f t="array" ref="K43">_FV(C43,"Price")</f>
        <v>26.48</v>
      </c>
      <c r="L43" s="67">
        <f t="shared" si="10"/>
        <v>202.24000000000004</v>
      </c>
      <c r="M43" s="72">
        <f t="shared" si="11"/>
        <v>0.32737632737632744</v>
      </c>
      <c r="N43" s="66">
        <v>20.5</v>
      </c>
      <c r="O43" s="225">
        <v>44056</v>
      </c>
      <c r="P43" s="225">
        <v>44071</v>
      </c>
      <c r="Q43" s="239">
        <f>Table2[[#This Row],[Close Date]]-Table2[[#This Row],[Open Date]]</f>
        <v>15</v>
      </c>
      <c r="R43" s="75"/>
      <c r="S43" s="43"/>
    </row>
    <row r="44" spans="2:19" x14ac:dyDescent="0.25">
      <c r="B44" s="220">
        <v>15</v>
      </c>
      <c r="C44" s="121" t="e" vm="11">
        <v>#VALUE!</v>
      </c>
      <c r="D44" s="121" t="s">
        <v>10</v>
      </c>
      <c r="E44" s="120" t="s">
        <v>13</v>
      </c>
      <c r="F44" s="122">
        <v>15</v>
      </c>
      <c r="G44" s="187">
        <v>40</v>
      </c>
      <c r="H44" s="122">
        <f t="shared" si="12"/>
        <v>17.760000000000002</v>
      </c>
      <c r="I44" s="122">
        <f t="shared" si="9"/>
        <v>15.443999999999999</v>
      </c>
      <c r="J44" s="244">
        <f t="shared" si="8"/>
        <v>617.76</v>
      </c>
      <c r="K44" s="122" cm="1">
        <f t="array" ref="K44">_FV(C44,"Price")</f>
        <v>26.48</v>
      </c>
      <c r="L44" s="124">
        <f t="shared" si="10"/>
        <v>16.640000000000015</v>
      </c>
      <c r="M44" s="126">
        <f t="shared" si="11"/>
        <v>2.6936026936026959E-2</v>
      </c>
      <c r="N44" s="122">
        <v>15.86</v>
      </c>
      <c r="O44" s="223">
        <v>44056</v>
      </c>
      <c r="P44" s="223">
        <v>44084</v>
      </c>
      <c r="Q44" s="237">
        <f>Table2[[#This Row],[Close Date]]-Table2[[#This Row],[Open Date]]</f>
        <v>28</v>
      </c>
      <c r="R44" s="74"/>
      <c r="S44" s="43"/>
    </row>
    <row r="45" spans="2:19" x14ac:dyDescent="0.25">
      <c r="B45" s="222">
        <v>16</v>
      </c>
      <c r="C45" s="65" t="e" vm="12">
        <v>#VALUE!</v>
      </c>
      <c r="D45" s="65" t="s">
        <v>10</v>
      </c>
      <c r="E45" s="115" t="s">
        <v>13</v>
      </c>
      <c r="F45" s="66">
        <v>350</v>
      </c>
      <c r="G45" s="189">
        <v>2</v>
      </c>
      <c r="H45" s="66">
        <f t="shared" si="12"/>
        <v>17.760000000000002</v>
      </c>
      <c r="I45" s="66">
        <f t="shared" si="9"/>
        <v>358.88</v>
      </c>
      <c r="J45" s="246">
        <f t="shared" si="8"/>
        <v>717.76</v>
      </c>
      <c r="K45" s="66" cm="1">
        <f t="array" ref="K45">_FV(C45,"Price")</f>
        <v>1091.8399999999999</v>
      </c>
      <c r="L45" s="67">
        <f t="shared" si="10"/>
        <v>202.24</v>
      </c>
      <c r="M45" s="72">
        <f t="shared" si="11"/>
        <v>0.28176549264378065</v>
      </c>
      <c r="N45" s="66">
        <v>460</v>
      </c>
      <c r="O45" s="225">
        <v>44082</v>
      </c>
      <c r="P45" s="225">
        <v>44091</v>
      </c>
      <c r="Q45" s="239">
        <f>Table2[[#This Row],[Close Date]]-Table2[[#This Row],[Open Date]]</f>
        <v>9</v>
      </c>
      <c r="R45" s="74"/>
      <c r="S45" s="43"/>
    </row>
    <row r="46" spans="2:19" x14ac:dyDescent="0.25">
      <c r="B46" s="222">
        <v>17</v>
      </c>
      <c r="C46" s="65" t="e" vm="8">
        <v>#VALUE!</v>
      </c>
      <c r="D46" s="65" t="s">
        <v>21</v>
      </c>
      <c r="E46" s="115" t="s">
        <v>13</v>
      </c>
      <c r="F46" s="66">
        <f>(185+174.5)/2</f>
        <v>179.75</v>
      </c>
      <c r="G46" s="189">
        <v>10</v>
      </c>
      <c r="H46" s="66">
        <f t="shared" si="12"/>
        <v>17.760000000000002</v>
      </c>
      <c r="I46" s="66">
        <f t="shared" si="9"/>
        <v>181.52600000000001</v>
      </c>
      <c r="J46" s="246">
        <f t="shared" si="8"/>
        <v>1815.2600000000002</v>
      </c>
      <c r="K46" s="66" cm="1">
        <f t="array" ref="K46">_FV(C46,"Price")</f>
        <v>359.57</v>
      </c>
      <c r="L46" s="67">
        <f t="shared" si="10"/>
        <v>354.7399999999999</v>
      </c>
      <c r="M46" s="68">
        <f t="shared" si="11"/>
        <v>0.19542104161387341</v>
      </c>
      <c r="N46" s="66">
        <v>217</v>
      </c>
      <c r="O46" s="225">
        <v>43945</v>
      </c>
      <c r="P46" s="225">
        <v>44074</v>
      </c>
      <c r="Q46" s="239">
        <f>Table2[[#This Row],[Close Date]]-Table2[[#This Row],[Open Date]]</f>
        <v>129</v>
      </c>
      <c r="R46" s="74"/>
      <c r="S46" s="43"/>
    </row>
    <row r="47" spans="2:19" x14ac:dyDescent="0.25">
      <c r="B47" s="221">
        <v>18</v>
      </c>
      <c r="C47" s="69" t="e" vm="4">
        <v>#VALUE!</v>
      </c>
      <c r="D47" s="69" t="s">
        <v>10</v>
      </c>
      <c r="E47" s="116" t="s">
        <v>13</v>
      </c>
      <c r="F47" s="173">
        <v>49.5</v>
      </c>
      <c r="G47" s="188">
        <v>15</v>
      </c>
      <c r="H47" s="173">
        <f t="shared" si="12"/>
        <v>17.760000000000002</v>
      </c>
      <c r="I47" s="173">
        <f t="shared" si="9"/>
        <v>50.683999999999997</v>
      </c>
      <c r="J47" s="245">
        <f t="shared" si="8"/>
        <v>760.26</v>
      </c>
      <c r="K47" s="173" cm="1">
        <f t="array" ref="K47">_FV(C47,"Price")</f>
        <v>51.51</v>
      </c>
      <c r="L47" s="70">
        <f t="shared" si="10"/>
        <v>-17.759999999999962</v>
      </c>
      <c r="M47" s="117">
        <f t="shared" si="11"/>
        <v>-2.33604293268092E-2</v>
      </c>
      <c r="N47" s="173">
        <v>49.5</v>
      </c>
      <c r="O47" s="224">
        <v>44036</v>
      </c>
      <c r="P47" s="224">
        <v>44103</v>
      </c>
      <c r="Q47" s="238">
        <f>Table2[[#This Row],[Close Date]]-Table2[[#This Row],[Open Date]]</f>
        <v>67</v>
      </c>
      <c r="R47" s="74"/>
      <c r="S47" s="43"/>
    </row>
    <row r="48" spans="2:19" x14ac:dyDescent="0.25">
      <c r="B48" s="221">
        <v>19</v>
      </c>
      <c r="C48" s="69" t="e" vm="13">
        <v>#VALUE!</v>
      </c>
      <c r="D48" s="69" t="s">
        <v>10</v>
      </c>
      <c r="E48" s="116" t="s">
        <v>13</v>
      </c>
      <c r="F48" s="173">
        <v>123</v>
      </c>
      <c r="G48" s="188">
        <v>5</v>
      </c>
      <c r="H48" s="173">
        <f t="shared" si="12"/>
        <v>17.760000000000002</v>
      </c>
      <c r="I48" s="173">
        <f t="shared" si="9"/>
        <v>126.55199999999999</v>
      </c>
      <c r="J48" s="245">
        <f t="shared" si="8"/>
        <v>632.76</v>
      </c>
      <c r="K48" s="173" cm="1">
        <f t="array" ref="K48">_FV(C48,"Price")</f>
        <v>71.180000000000007</v>
      </c>
      <c r="L48" s="70">
        <f t="shared" si="10"/>
        <v>-87.759999999999962</v>
      </c>
      <c r="M48" s="117">
        <f t="shared" si="11"/>
        <v>-0.13869397559896321</v>
      </c>
      <c r="N48" s="173">
        <v>109</v>
      </c>
      <c r="O48" s="224">
        <v>44050</v>
      </c>
      <c r="P48" s="224">
        <v>44103</v>
      </c>
      <c r="Q48" s="238">
        <f>Table2[[#This Row],[Close Date]]-Table2[[#This Row],[Open Date]]</f>
        <v>53</v>
      </c>
      <c r="S48" s="43"/>
    </row>
    <row r="49" spans="2:22" x14ac:dyDescent="0.25">
      <c r="B49" s="222">
        <v>20</v>
      </c>
      <c r="C49" s="65" t="e" vm="14">
        <v>#VALUE!</v>
      </c>
      <c r="D49" s="65" t="s">
        <v>21</v>
      </c>
      <c r="E49" s="115" t="s">
        <v>13</v>
      </c>
      <c r="F49" s="66">
        <v>258</v>
      </c>
      <c r="G49" s="189">
        <v>5</v>
      </c>
      <c r="H49" s="66">
        <f t="shared" si="12"/>
        <v>17.760000000000002</v>
      </c>
      <c r="I49" s="66">
        <f t="shared" si="9"/>
        <v>261.55200000000002</v>
      </c>
      <c r="J49" s="246">
        <f t="shared" si="8"/>
        <v>1307.7600000000002</v>
      </c>
      <c r="K49" s="66" cm="1">
        <f t="array" ref="K49">_FV(C49,"Price")</f>
        <v>115.09</v>
      </c>
      <c r="L49" s="67">
        <f t="shared" si="10"/>
        <v>232.2399999999999</v>
      </c>
      <c r="M49" s="68">
        <f t="shared" si="11"/>
        <v>0.17758610142533787</v>
      </c>
      <c r="N49" s="66">
        <v>308</v>
      </c>
      <c r="O49" s="225">
        <v>44061</v>
      </c>
      <c r="P49" s="225">
        <v>44124</v>
      </c>
      <c r="Q49" s="239">
        <f>Table2[[#This Row],[Close Date]]-Table2[[#This Row],[Open Date]]</f>
        <v>63</v>
      </c>
      <c r="S49" s="43"/>
    </row>
    <row r="50" spans="2:22" x14ac:dyDescent="0.25">
      <c r="B50" s="222">
        <v>21</v>
      </c>
      <c r="C50" s="65" t="e" vm="15">
        <v>#VALUE!</v>
      </c>
      <c r="D50" s="65" t="s">
        <v>21</v>
      </c>
      <c r="E50" s="115" t="s">
        <v>13</v>
      </c>
      <c r="F50" s="66">
        <v>40.5</v>
      </c>
      <c r="G50" s="189">
        <v>15</v>
      </c>
      <c r="H50" s="66">
        <f t="shared" si="12"/>
        <v>17.760000000000002</v>
      </c>
      <c r="I50" s="66">
        <f t="shared" si="9"/>
        <v>41.683999999999997</v>
      </c>
      <c r="J50" s="246">
        <f t="shared" si="8"/>
        <v>625.26</v>
      </c>
      <c r="K50" s="66" cm="1">
        <f t="array" ref="K50">_FV(C50,"Price")</f>
        <v>64.8</v>
      </c>
      <c r="L50" s="67">
        <f t="shared" si="10"/>
        <v>82.74000000000008</v>
      </c>
      <c r="M50" s="72">
        <f t="shared" si="11"/>
        <v>0.1323289511563191</v>
      </c>
      <c r="N50" s="66">
        <v>47.2</v>
      </c>
      <c r="O50" s="225">
        <v>44091</v>
      </c>
      <c r="P50" s="225">
        <v>44139</v>
      </c>
      <c r="Q50" s="239">
        <f>Table2[[#This Row],[Close Date]]-Table2[[#This Row],[Open Date]]</f>
        <v>48</v>
      </c>
      <c r="S50" s="73"/>
    </row>
    <row r="51" spans="2:22" x14ac:dyDescent="0.25">
      <c r="B51" s="222">
        <v>22</v>
      </c>
      <c r="C51" s="65" t="e" vm="13">
        <v>#VALUE!</v>
      </c>
      <c r="D51" s="65" t="s">
        <v>10</v>
      </c>
      <c r="E51" s="115" t="s">
        <v>13</v>
      </c>
      <c r="F51" s="66">
        <v>123</v>
      </c>
      <c r="G51" s="189">
        <v>5</v>
      </c>
      <c r="H51" s="66">
        <f t="shared" si="12"/>
        <v>17.760000000000002</v>
      </c>
      <c r="I51" s="66">
        <f t="shared" si="9"/>
        <v>126.55199999999999</v>
      </c>
      <c r="J51" s="246">
        <f t="shared" si="8"/>
        <v>632.76</v>
      </c>
      <c r="K51" s="66" cm="1">
        <f t="array" ref="K51">_FV(C51,"Price")</f>
        <v>71.180000000000007</v>
      </c>
      <c r="L51" s="67">
        <f t="shared" si="10"/>
        <v>42.240000000000038</v>
      </c>
      <c r="M51" s="72">
        <f t="shared" si="11"/>
        <v>6.6755167836146462E-2</v>
      </c>
      <c r="N51" s="66">
        <v>135</v>
      </c>
      <c r="O51" s="225">
        <v>44050</v>
      </c>
      <c r="P51" s="225">
        <v>44141</v>
      </c>
      <c r="Q51" s="239">
        <f>Table2[[#This Row],[Close Date]]-Table2[[#This Row],[Open Date]]</f>
        <v>91</v>
      </c>
      <c r="R51" s="74"/>
      <c r="S51" s="73"/>
    </row>
    <row r="52" spans="2:22" x14ac:dyDescent="0.25">
      <c r="B52" s="222">
        <v>23</v>
      </c>
      <c r="C52" s="65" t="e" vm="16">
        <v>#VALUE!</v>
      </c>
      <c r="D52" s="65" t="s">
        <v>21</v>
      </c>
      <c r="E52" s="115" t="s">
        <v>13</v>
      </c>
      <c r="F52" s="66">
        <v>23</v>
      </c>
      <c r="G52" s="189">
        <v>40</v>
      </c>
      <c r="H52" s="66">
        <f t="shared" si="12"/>
        <v>17.760000000000002</v>
      </c>
      <c r="I52" s="66">
        <f t="shared" si="9"/>
        <v>23.443999999999999</v>
      </c>
      <c r="J52" s="246">
        <f t="shared" si="8"/>
        <v>937.76</v>
      </c>
      <c r="K52" s="66" cm="1">
        <f t="array" ref="K52">_FV(C52,"Price")</f>
        <v>27.13</v>
      </c>
      <c r="L52" s="67">
        <f t="shared" si="10"/>
        <v>62.240000000000038</v>
      </c>
      <c r="M52" s="68">
        <f t="shared" si="11"/>
        <v>6.6370926463060947E-2</v>
      </c>
      <c r="N52" s="66">
        <v>25</v>
      </c>
      <c r="O52" s="225">
        <v>44070</v>
      </c>
      <c r="P52" s="225">
        <v>44141</v>
      </c>
      <c r="Q52" s="239">
        <f>Table2[[#This Row],[Close Date]]-Table2[[#This Row],[Open Date]]</f>
        <v>71</v>
      </c>
      <c r="R52" s="74"/>
      <c r="S52" s="43"/>
    </row>
    <row r="53" spans="2:22" x14ac:dyDescent="0.25">
      <c r="B53" s="222">
        <v>24</v>
      </c>
      <c r="C53" s="65" t="e" vm="7">
        <v>#VALUE!</v>
      </c>
      <c r="D53" s="65" t="s">
        <v>10</v>
      </c>
      <c r="E53" s="115" t="s">
        <v>13</v>
      </c>
      <c r="F53" s="66">
        <v>263</v>
      </c>
      <c r="G53" s="189">
        <v>3</v>
      </c>
      <c r="H53" s="66">
        <f t="shared" si="12"/>
        <v>17.760000000000002</v>
      </c>
      <c r="I53" s="66">
        <f t="shared" si="9"/>
        <v>268.92</v>
      </c>
      <c r="J53" s="246">
        <f t="shared" si="8"/>
        <v>806.76</v>
      </c>
      <c r="K53" s="66" cm="1">
        <f t="array" ref="K53">_FV(C53,"Price")</f>
        <v>223.59</v>
      </c>
      <c r="L53" s="67">
        <f t="shared" si="10"/>
        <v>48.239999999999952</v>
      </c>
      <c r="M53" s="72">
        <f t="shared" si="11"/>
        <v>5.9794734493529615E-2</v>
      </c>
      <c r="N53" s="66">
        <v>285</v>
      </c>
      <c r="O53" s="225">
        <v>44113</v>
      </c>
      <c r="P53" s="225">
        <v>44141</v>
      </c>
      <c r="Q53" s="239">
        <f>Table2[[#This Row],[Close Date]]-Table2[[#This Row],[Open Date]]</f>
        <v>28</v>
      </c>
      <c r="S53" s="43"/>
    </row>
    <row r="54" spans="2:22" x14ac:dyDescent="0.25">
      <c r="B54" s="222">
        <v>25</v>
      </c>
      <c r="C54" s="65" t="e" vm="17">
        <v>#VALUE!</v>
      </c>
      <c r="D54" s="65" t="s">
        <v>10</v>
      </c>
      <c r="E54" s="115" t="s">
        <v>13</v>
      </c>
      <c r="F54" s="66">
        <v>24.331999999999997</v>
      </c>
      <c r="G54" s="189">
        <v>50</v>
      </c>
      <c r="H54" s="66">
        <v>26.64</v>
      </c>
      <c r="I54" s="66">
        <f t="shared" si="9"/>
        <v>24.864799999999999</v>
      </c>
      <c r="J54" s="246">
        <f t="shared" si="8"/>
        <v>1243.24</v>
      </c>
      <c r="K54" s="66" cm="1">
        <f t="array" ref="K54">_FV(C54,"Price")</f>
        <v>37.590000000000003</v>
      </c>
      <c r="L54" s="67">
        <f t="shared" si="10"/>
        <v>156.76000000000005</v>
      </c>
      <c r="M54" s="72">
        <f t="shared" si="11"/>
        <v>0.12608989414754998</v>
      </c>
      <c r="N54" s="66">
        <v>28</v>
      </c>
      <c r="O54" s="225">
        <v>44092</v>
      </c>
      <c r="P54" s="225">
        <v>44145</v>
      </c>
      <c r="Q54" s="239">
        <f>Table2[[#This Row],[Close Date]]-Table2[[#This Row],[Open Date]]</f>
        <v>53</v>
      </c>
      <c r="R54" s="74"/>
      <c r="S54" s="43"/>
    </row>
    <row r="55" spans="2:22" x14ac:dyDescent="0.25">
      <c r="B55" s="222">
        <v>26</v>
      </c>
      <c r="C55" s="65" t="e" vm="18">
        <v>#VALUE!</v>
      </c>
      <c r="D55" s="65" t="s">
        <v>21</v>
      </c>
      <c r="E55" s="115" t="s">
        <v>13</v>
      </c>
      <c r="F55" s="66">
        <v>13.5</v>
      </c>
      <c r="G55" s="189">
        <v>55</v>
      </c>
      <c r="H55" s="66">
        <f>8.88</f>
        <v>8.8800000000000008</v>
      </c>
      <c r="I55" s="66">
        <f t="shared" si="9"/>
        <v>13.661454545454545</v>
      </c>
      <c r="J55" s="246">
        <f t="shared" si="8"/>
        <v>751.38</v>
      </c>
      <c r="K55" s="66" cm="1">
        <f t="array" ref="K55">_FV(C55,"Price")</f>
        <v>6</v>
      </c>
      <c r="L55" s="67">
        <f t="shared" si="10"/>
        <v>348.62000000000006</v>
      </c>
      <c r="M55" s="72">
        <f t="shared" si="11"/>
        <v>0.46397295642684139</v>
      </c>
      <c r="N55" s="66">
        <v>20</v>
      </c>
      <c r="O55" s="225">
        <v>44137</v>
      </c>
      <c r="P55" s="225">
        <v>44152</v>
      </c>
      <c r="Q55" s="239">
        <f>Table2[[#This Row],[Close Date]]-Table2[[#This Row],[Open Date]]</f>
        <v>15</v>
      </c>
      <c r="S55" s="43"/>
    </row>
    <row r="56" spans="2:22" x14ac:dyDescent="0.25">
      <c r="B56" s="220">
        <v>27</v>
      </c>
      <c r="C56" s="121" t="e" vm="19">
        <v>#VALUE!</v>
      </c>
      <c r="D56" s="121" t="s">
        <v>21</v>
      </c>
      <c r="E56" s="120" t="s">
        <v>13</v>
      </c>
      <c r="F56" s="122">
        <v>27.5</v>
      </c>
      <c r="G56" s="187">
        <v>30</v>
      </c>
      <c r="H56" s="122">
        <f>8.88*2</f>
        <v>17.760000000000002</v>
      </c>
      <c r="I56" s="122">
        <f t="shared" si="9"/>
        <v>28.091999999999999</v>
      </c>
      <c r="J56" s="244">
        <f t="shared" si="8"/>
        <v>842.76</v>
      </c>
      <c r="K56" s="122" cm="1">
        <f t="array" ref="K56">_FV(C56,"Price")</f>
        <v>23.87</v>
      </c>
      <c r="L56" s="124">
        <f t="shared" si="10"/>
        <v>28.740000000000059</v>
      </c>
      <c r="M56" s="126">
        <f t="shared" si="11"/>
        <v>3.4102235511889574E-2</v>
      </c>
      <c r="N56" s="122">
        <v>29.05</v>
      </c>
      <c r="O56" s="223">
        <v>44118</v>
      </c>
      <c r="P56" s="223">
        <v>44154</v>
      </c>
      <c r="Q56" s="237">
        <f>Table2[[#This Row],[Close Date]]-Table2[[#This Row],[Open Date]]</f>
        <v>36</v>
      </c>
      <c r="R56" s="75"/>
      <c r="S56" s="43"/>
      <c r="U56" s="134"/>
      <c r="V56" s="131"/>
    </row>
    <row r="57" spans="2:22" x14ac:dyDescent="0.25">
      <c r="B57" s="222">
        <v>28</v>
      </c>
      <c r="C57" s="65" t="e" vm="20">
        <v>#VALUE!</v>
      </c>
      <c r="D57" s="65" t="s">
        <v>21</v>
      </c>
      <c r="E57" s="115" t="s">
        <v>13</v>
      </c>
      <c r="F57" s="66">
        <v>200</v>
      </c>
      <c r="G57" s="189">
        <v>5</v>
      </c>
      <c r="H57" s="66">
        <f>8.88*2</f>
        <v>17.760000000000002</v>
      </c>
      <c r="I57" s="66">
        <f t="shared" si="9"/>
        <v>203.55199999999999</v>
      </c>
      <c r="J57" s="246">
        <f t="shared" si="8"/>
        <v>1017.76</v>
      </c>
      <c r="K57" s="66" cm="1">
        <f t="array" ref="K57">_FV(C57,"Price")</f>
        <v>335.3</v>
      </c>
      <c r="L57" s="67">
        <f t="shared" si="10"/>
        <v>97.240000000000038</v>
      </c>
      <c r="M57" s="72">
        <f t="shared" si="11"/>
        <v>9.5543153592202515E-2</v>
      </c>
      <c r="N57" s="66">
        <v>223</v>
      </c>
      <c r="O57" s="225">
        <v>44130</v>
      </c>
      <c r="P57" s="225">
        <v>44154</v>
      </c>
      <c r="Q57" s="239">
        <f>Table2[[#This Row],[Close Date]]-Table2[[#This Row],[Open Date]]</f>
        <v>24</v>
      </c>
      <c r="S57" s="43"/>
      <c r="U57" s="134"/>
      <c r="V57" s="131"/>
    </row>
    <row r="58" spans="2:22" x14ac:dyDescent="0.25">
      <c r="B58" s="220">
        <v>29</v>
      </c>
      <c r="C58" s="121" t="e" vm="21">
        <v>#VALUE!</v>
      </c>
      <c r="D58" s="121" t="s">
        <v>7</v>
      </c>
      <c r="E58" s="120" t="s">
        <v>12</v>
      </c>
      <c r="F58" s="122">
        <v>4.53</v>
      </c>
      <c r="G58" s="187">
        <v>2000</v>
      </c>
      <c r="H58" s="122">
        <f>10.88*2</f>
        <v>21.76</v>
      </c>
      <c r="I58" s="122">
        <f>((F58*G58)+H58*7.8)/G58</f>
        <v>4.6148639999999999</v>
      </c>
      <c r="J58" s="244">
        <f t="shared" si="8"/>
        <v>9229.7279999999992</v>
      </c>
      <c r="K58" s="122" cm="1">
        <f t="array" ref="K58">_FV(C58,"Price")</f>
        <v>4.72</v>
      </c>
      <c r="L58" s="124">
        <f>(N58-I58)*G58/7.8</f>
        <v>16.701538461538423</v>
      </c>
      <c r="M58" s="125">
        <f>L58*7.8/J58</f>
        <v>1.4114392103429236E-2</v>
      </c>
      <c r="N58" s="122">
        <v>4.68</v>
      </c>
      <c r="O58" s="223">
        <v>44050</v>
      </c>
      <c r="P58" s="223">
        <v>44155</v>
      </c>
      <c r="Q58" s="237">
        <f>Table2[[#This Row],[Close Date]]-Table2[[#This Row],[Open Date]]</f>
        <v>105</v>
      </c>
      <c r="R58" s="75"/>
      <c r="S58" s="43"/>
      <c r="U58" s="134"/>
      <c r="V58" s="131"/>
    </row>
    <row r="59" spans="2:22" x14ac:dyDescent="0.25">
      <c r="B59" s="222">
        <v>30</v>
      </c>
      <c r="C59" s="65" t="e" vm="12">
        <v>#VALUE!</v>
      </c>
      <c r="D59" s="65" t="s">
        <v>10</v>
      </c>
      <c r="E59" s="115" t="s">
        <v>13</v>
      </c>
      <c r="F59" s="66">
        <v>440</v>
      </c>
      <c r="G59" s="189">
        <v>2</v>
      </c>
      <c r="H59" s="66">
        <f t="shared" ref="H59:H68" si="13">8.88*2</f>
        <v>17.760000000000002</v>
      </c>
      <c r="I59" s="66">
        <f t="shared" ref="I59:I90" si="14">((F59*G59)+H59)/G59</f>
        <v>448.88</v>
      </c>
      <c r="J59" s="246">
        <f t="shared" si="8"/>
        <v>897.76</v>
      </c>
      <c r="K59" s="66" cm="1">
        <f t="array" ref="K59">_FV(C59,"Price")</f>
        <v>1091.8399999999999</v>
      </c>
      <c r="L59" s="67">
        <f t="shared" ref="L59:L69" si="15">(N59-I59)*G59</f>
        <v>152.24</v>
      </c>
      <c r="M59" s="72">
        <f t="shared" ref="M59:M69" si="16">L59/J59</f>
        <v>0.16957761539832472</v>
      </c>
      <c r="N59" s="174">
        <v>525</v>
      </c>
      <c r="O59" s="225">
        <v>44152</v>
      </c>
      <c r="P59" s="225">
        <v>44160</v>
      </c>
      <c r="Q59" s="239">
        <f>Table2[[#This Row],[Close Date]]-Table2[[#This Row],[Open Date]]</f>
        <v>8</v>
      </c>
      <c r="R59" s="75"/>
      <c r="S59" s="43"/>
      <c r="U59" s="134"/>
      <c r="V59" s="131"/>
    </row>
    <row r="60" spans="2:22" x14ac:dyDescent="0.25">
      <c r="B60" s="222">
        <v>31</v>
      </c>
      <c r="C60" s="65" t="e" vm="22">
        <v>#VALUE!</v>
      </c>
      <c r="D60" s="65" t="s">
        <v>21</v>
      </c>
      <c r="E60" s="115" t="s">
        <v>13</v>
      </c>
      <c r="F60" s="66">
        <v>38</v>
      </c>
      <c r="G60" s="189">
        <v>15</v>
      </c>
      <c r="H60" s="66">
        <f t="shared" si="13"/>
        <v>17.760000000000002</v>
      </c>
      <c r="I60" s="66">
        <f t="shared" si="14"/>
        <v>39.183999999999997</v>
      </c>
      <c r="J60" s="246">
        <f t="shared" si="8"/>
        <v>587.76</v>
      </c>
      <c r="K60" s="66" cm="1">
        <f t="array" ref="K60">_FV(C60,"Price")</f>
        <v>53.28</v>
      </c>
      <c r="L60" s="67">
        <f t="shared" si="15"/>
        <v>43.740000000000059</v>
      </c>
      <c r="M60" s="72">
        <f t="shared" si="16"/>
        <v>7.4418129848918033E-2</v>
      </c>
      <c r="N60" s="174">
        <v>42.1</v>
      </c>
      <c r="O60" s="225">
        <v>44146</v>
      </c>
      <c r="P60" s="225">
        <v>44175</v>
      </c>
      <c r="Q60" s="239">
        <f>Table2[[#This Row],[Close Date]]-Table2[[#This Row],[Open Date]]</f>
        <v>29</v>
      </c>
      <c r="R60" s="74"/>
    </row>
    <row r="61" spans="2:22" x14ac:dyDescent="0.25">
      <c r="B61" s="222">
        <v>32</v>
      </c>
      <c r="C61" s="65" t="e" vm="23">
        <v>#VALUE!</v>
      </c>
      <c r="D61" s="65" t="s">
        <v>10</v>
      </c>
      <c r="E61" s="115" t="s">
        <v>13</v>
      </c>
      <c r="F61" s="66">
        <v>127</v>
      </c>
      <c r="G61" s="189">
        <v>6</v>
      </c>
      <c r="H61" s="66">
        <f t="shared" si="13"/>
        <v>17.760000000000002</v>
      </c>
      <c r="I61" s="66">
        <f t="shared" si="14"/>
        <v>129.96</v>
      </c>
      <c r="J61" s="246">
        <f t="shared" si="8"/>
        <v>779.76</v>
      </c>
      <c r="K61" s="66" cm="1">
        <f t="array" ref="K61">_FV(C61,"Price")</f>
        <v>128.04</v>
      </c>
      <c r="L61" s="67">
        <f t="shared" si="15"/>
        <v>59.639999999999986</v>
      </c>
      <c r="M61" s="72">
        <f t="shared" si="16"/>
        <v>7.6485072329947654E-2</v>
      </c>
      <c r="N61" s="191">
        <v>139.9</v>
      </c>
      <c r="O61" s="225">
        <v>44140</v>
      </c>
      <c r="P61" s="225">
        <v>44183</v>
      </c>
      <c r="Q61" s="239">
        <f>Table2[[#This Row],[Close Date]]-Table2[[#This Row],[Open Date]]</f>
        <v>43</v>
      </c>
      <c r="R61" s="74"/>
    </row>
    <row r="62" spans="2:22" x14ac:dyDescent="0.25">
      <c r="B62" s="222">
        <v>33</v>
      </c>
      <c r="C62" s="65" t="e" vm="12">
        <v>#VALUE!</v>
      </c>
      <c r="D62" s="65" t="s">
        <v>10</v>
      </c>
      <c r="E62" s="115" t="s">
        <v>13</v>
      </c>
      <c r="F62" s="66">
        <v>625</v>
      </c>
      <c r="G62" s="189">
        <v>1</v>
      </c>
      <c r="H62" s="66">
        <f t="shared" si="13"/>
        <v>17.760000000000002</v>
      </c>
      <c r="I62" s="66">
        <f t="shared" si="14"/>
        <v>642.76</v>
      </c>
      <c r="J62" s="246">
        <f t="shared" ref="J62:J93" si="17">I62*G62</f>
        <v>642.76</v>
      </c>
      <c r="K62" s="66" cm="1">
        <f t="array" ref="K62">_FV(C62,"Price")</f>
        <v>1091.8399999999999</v>
      </c>
      <c r="L62" s="67">
        <f t="shared" si="15"/>
        <v>62.240000000000009</v>
      </c>
      <c r="M62" s="72">
        <f t="shared" si="16"/>
        <v>9.6832410230879351E-2</v>
      </c>
      <c r="N62" s="174">
        <v>705</v>
      </c>
      <c r="O62" s="225">
        <v>44169</v>
      </c>
      <c r="P62" s="225">
        <v>44201</v>
      </c>
      <c r="Q62" s="239">
        <f>Table2[[#This Row],[Close Date]]-Table2[[#This Row],[Open Date]]</f>
        <v>32</v>
      </c>
      <c r="R62" s="74"/>
    </row>
    <row r="63" spans="2:22" x14ac:dyDescent="0.25">
      <c r="B63" s="222">
        <v>34</v>
      </c>
      <c r="C63" s="65" t="e" vm="24">
        <v>#VALUE!</v>
      </c>
      <c r="D63" s="65" t="s">
        <v>10</v>
      </c>
      <c r="E63" s="115" t="s">
        <v>13</v>
      </c>
      <c r="F63" s="66">
        <v>88</v>
      </c>
      <c r="G63" s="189">
        <v>8</v>
      </c>
      <c r="H63" s="66">
        <f t="shared" si="13"/>
        <v>17.760000000000002</v>
      </c>
      <c r="I63" s="66">
        <f t="shared" si="14"/>
        <v>90.22</v>
      </c>
      <c r="J63" s="246">
        <f t="shared" si="17"/>
        <v>721.76</v>
      </c>
      <c r="K63" s="66" cm="1">
        <f t="array" ref="K63">_FV(C63,"Price")</f>
        <v>93.82</v>
      </c>
      <c r="L63" s="67">
        <f t="shared" si="15"/>
        <v>62.240000000000009</v>
      </c>
      <c r="M63" s="72">
        <f t="shared" si="16"/>
        <v>8.6233651075149645E-2</v>
      </c>
      <c r="N63" s="174">
        <v>98</v>
      </c>
      <c r="O63" s="225">
        <v>44151</v>
      </c>
      <c r="P63" s="225">
        <v>44202</v>
      </c>
      <c r="Q63" s="239">
        <f>Table2[[#This Row],[Close Date]]-Table2[[#This Row],[Open Date]]</f>
        <v>51</v>
      </c>
      <c r="R63" s="74"/>
    </row>
    <row r="64" spans="2:22" x14ac:dyDescent="0.25">
      <c r="B64" s="220">
        <v>35</v>
      </c>
      <c r="C64" s="121" t="e" vm="4">
        <v>#VALUE!</v>
      </c>
      <c r="D64" s="121" t="s">
        <v>10</v>
      </c>
      <c r="E64" s="120" t="s">
        <v>13</v>
      </c>
      <c r="F64" s="122">
        <v>49.5</v>
      </c>
      <c r="G64" s="187">
        <v>10</v>
      </c>
      <c r="H64" s="122">
        <f t="shared" si="13"/>
        <v>17.760000000000002</v>
      </c>
      <c r="I64" s="122">
        <f t="shared" si="14"/>
        <v>51.275999999999996</v>
      </c>
      <c r="J64" s="244">
        <f t="shared" si="17"/>
        <v>512.76</v>
      </c>
      <c r="K64" s="122" cm="1">
        <f t="array" ref="K64">_FV(C64,"Price")</f>
        <v>51.51</v>
      </c>
      <c r="L64" s="122">
        <f t="shared" si="15"/>
        <v>12.240000000000038</v>
      </c>
      <c r="M64" s="126">
        <f t="shared" si="16"/>
        <v>2.3870816756377325E-2</v>
      </c>
      <c r="N64" s="123">
        <v>52.5</v>
      </c>
      <c r="O64" s="223">
        <v>44036</v>
      </c>
      <c r="P64" s="223">
        <v>44203</v>
      </c>
      <c r="Q64" s="237">
        <f>Table2[[#This Row],[Close Date]]-Table2[[#This Row],[Open Date]]</f>
        <v>167</v>
      </c>
      <c r="R64" s="178"/>
      <c r="T64" s="54"/>
      <c r="U64" s="134"/>
      <c r="V64" s="135"/>
    </row>
    <row r="65" spans="2:22" x14ac:dyDescent="0.25">
      <c r="B65" s="222">
        <v>36</v>
      </c>
      <c r="C65" s="65" t="e" vm="25">
        <v>#VALUE!</v>
      </c>
      <c r="D65" s="65" t="s">
        <v>21</v>
      </c>
      <c r="E65" s="115" t="s">
        <v>13</v>
      </c>
      <c r="F65" s="66">
        <v>180</v>
      </c>
      <c r="G65" s="189">
        <v>4</v>
      </c>
      <c r="H65" s="66">
        <f t="shared" si="13"/>
        <v>17.760000000000002</v>
      </c>
      <c r="I65" s="66">
        <f t="shared" si="14"/>
        <v>184.44</v>
      </c>
      <c r="J65" s="246">
        <f t="shared" si="17"/>
        <v>737.76</v>
      </c>
      <c r="K65" s="66" cm="1">
        <f t="array" ref="K65">_FV(C65,"Price")</f>
        <v>69.819999999999993</v>
      </c>
      <c r="L65" s="66">
        <f t="shared" si="15"/>
        <v>182.24</v>
      </c>
      <c r="M65" s="68">
        <f t="shared" si="16"/>
        <v>0.24701800043374542</v>
      </c>
      <c r="N65" s="174">
        <v>230</v>
      </c>
      <c r="O65" s="260">
        <v>44144</v>
      </c>
      <c r="P65" s="225">
        <v>44208</v>
      </c>
      <c r="Q65" s="239">
        <f>Table2[[#This Row],[Close Date]]-Table2[[#This Row],[Open Date]]</f>
        <v>64</v>
      </c>
      <c r="R65" s="259"/>
    </row>
    <row r="66" spans="2:22" x14ac:dyDescent="0.25">
      <c r="B66" s="222">
        <v>37</v>
      </c>
      <c r="C66" s="65" t="e" vm="26">
        <v>#VALUE!</v>
      </c>
      <c r="D66" s="65" t="s">
        <v>21</v>
      </c>
      <c r="E66" s="115" t="s">
        <v>13</v>
      </c>
      <c r="F66" s="66">
        <v>19.5</v>
      </c>
      <c r="G66" s="189">
        <v>50</v>
      </c>
      <c r="H66" s="66">
        <f t="shared" si="13"/>
        <v>17.760000000000002</v>
      </c>
      <c r="I66" s="66">
        <f t="shared" si="14"/>
        <v>19.8552</v>
      </c>
      <c r="J66" s="246">
        <f t="shared" si="17"/>
        <v>992.76</v>
      </c>
      <c r="K66" s="66" cm="1">
        <f t="array" ref="K66">_FV(C66,"Price")</f>
        <v>5.25</v>
      </c>
      <c r="L66" s="66">
        <f t="shared" si="15"/>
        <v>57.24</v>
      </c>
      <c r="M66" s="68">
        <f t="shared" si="16"/>
        <v>5.7657439864619853E-2</v>
      </c>
      <c r="N66" s="174">
        <v>21</v>
      </c>
      <c r="O66" s="260">
        <v>44168</v>
      </c>
      <c r="P66" s="225">
        <v>44208</v>
      </c>
      <c r="Q66" s="239">
        <f>Table2[[#This Row],[Close Date]]-Table2[[#This Row],[Open Date]]</f>
        <v>40</v>
      </c>
      <c r="R66" s="259"/>
    </row>
    <row r="67" spans="2:22" x14ac:dyDescent="0.25">
      <c r="B67" s="222">
        <v>38</v>
      </c>
      <c r="C67" s="65" t="e" vm="27">
        <v>#VALUE!</v>
      </c>
      <c r="D67" s="65" t="s">
        <v>10</v>
      </c>
      <c r="E67" s="115" t="s">
        <v>13</v>
      </c>
      <c r="F67" s="66">
        <v>78</v>
      </c>
      <c r="G67" s="189">
        <v>10</v>
      </c>
      <c r="H67" s="66">
        <f t="shared" si="13"/>
        <v>17.760000000000002</v>
      </c>
      <c r="I67" s="66">
        <f t="shared" si="14"/>
        <v>79.775999999999996</v>
      </c>
      <c r="J67" s="246">
        <f t="shared" si="17"/>
        <v>797.76</v>
      </c>
      <c r="K67" s="66" cm="1">
        <f t="array" ref="K67">_FV(C67,"Price")</f>
        <v>80.010000000000005</v>
      </c>
      <c r="L67" s="66">
        <f t="shared" si="15"/>
        <v>94.240000000000066</v>
      </c>
      <c r="M67" s="68">
        <f t="shared" si="16"/>
        <v>0.11813076614520666</v>
      </c>
      <c r="N67" s="174">
        <v>89.2</v>
      </c>
      <c r="O67" s="260">
        <v>44147</v>
      </c>
      <c r="P67" s="225">
        <v>44208</v>
      </c>
      <c r="Q67" s="239">
        <f>Table2[[#This Row],[Close Date]]-Table2[[#This Row],[Open Date]]</f>
        <v>61</v>
      </c>
      <c r="R67" s="259"/>
    </row>
    <row r="68" spans="2:22" x14ac:dyDescent="0.25">
      <c r="B68" s="220">
        <v>39</v>
      </c>
      <c r="C68" s="121" t="e" vm="28">
        <v>#VALUE!</v>
      </c>
      <c r="D68" s="121" t="s">
        <v>10</v>
      </c>
      <c r="E68" s="120" t="s">
        <v>13</v>
      </c>
      <c r="F68" s="122">
        <v>516</v>
      </c>
      <c r="G68" s="187">
        <v>2</v>
      </c>
      <c r="H68" s="122">
        <f t="shared" si="13"/>
        <v>17.760000000000002</v>
      </c>
      <c r="I68" s="122">
        <f t="shared" si="14"/>
        <v>524.88</v>
      </c>
      <c r="J68" s="244">
        <f t="shared" si="17"/>
        <v>1049.76</v>
      </c>
      <c r="K68" s="122" cm="1">
        <f t="array" ref="K68">_FV(C68,"Price")</f>
        <v>282.19</v>
      </c>
      <c r="L68" s="122">
        <f t="shared" si="15"/>
        <v>34.240000000000009</v>
      </c>
      <c r="M68" s="126">
        <f t="shared" si="16"/>
        <v>3.2616979119036743E-2</v>
      </c>
      <c r="N68" s="123">
        <v>542</v>
      </c>
      <c r="O68" s="223">
        <v>44195</v>
      </c>
      <c r="P68" s="223">
        <v>44208</v>
      </c>
      <c r="Q68" s="237">
        <f>Table2[[#This Row],[Close Date]]-Table2[[#This Row],[Open Date]]</f>
        <v>13</v>
      </c>
      <c r="R68" s="178"/>
      <c r="T68" s="54"/>
      <c r="U68" s="134"/>
      <c r="V68" s="135"/>
    </row>
    <row r="69" spans="2:22" x14ac:dyDescent="0.25">
      <c r="B69" s="222">
        <v>40</v>
      </c>
      <c r="C69" s="65" t="e" vm="29">
        <v>#VALUE!</v>
      </c>
      <c r="D69" s="65" t="s">
        <v>21</v>
      </c>
      <c r="E69" s="115" t="s">
        <v>13</v>
      </c>
      <c r="F69" s="66">
        <f>(52+46)/2</f>
        <v>49</v>
      </c>
      <c r="G69" s="189">
        <v>20</v>
      </c>
      <c r="H69" s="66">
        <f>8.88*4</f>
        <v>35.520000000000003</v>
      </c>
      <c r="I69" s="66">
        <f t="shared" si="14"/>
        <v>50.775999999999996</v>
      </c>
      <c r="J69" s="246">
        <f t="shared" si="17"/>
        <v>1015.52</v>
      </c>
      <c r="K69" s="66" cm="1">
        <f t="array" ref="K69">_FV(C69,"Price")</f>
        <v>21.21</v>
      </c>
      <c r="L69" s="66">
        <f t="shared" si="15"/>
        <v>244.48000000000008</v>
      </c>
      <c r="M69" s="68">
        <f t="shared" si="16"/>
        <v>0.24074365842130149</v>
      </c>
      <c r="N69" s="174">
        <v>63</v>
      </c>
      <c r="O69" s="260">
        <v>44166</v>
      </c>
      <c r="P69" s="225">
        <v>44208</v>
      </c>
      <c r="Q69" s="239">
        <f>Table2[[#This Row],[Close Date]]-Table2[[#This Row],[Open Date]]</f>
        <v>42</v>
      </c>
      <c r="R69" s="259"/>
    </row>
    <row r="70" spans="2:22" x14ac:dyDescent="0.25">
      <c r="B70" s="222">
        <v>41</v>
      </c>
      <c r="C70" s="65" t="e" vm="30">
        <v>#VALUE!</v>
      </c>
      <c r="D70" s="65" t="s">
        <v>7</v>
      </c>
      <c r="E70" s="115" t="s">
        <v>12</v>
      </c>
      <c r="F70" s="66">
        <v>1.85</v>
      </c>
      <c r="G70" s="189">
        <v>4000</v>
      </c>
      <c r="H70" s="66">
        <f>60*2+(F70*G70+Table2[[#This Row],[Exit Price]]*G70)*(0.1%+0.002%+0.0027%+0.005%)</f>
        <v>138.42959999999999</v>
      </c>
      <c r="I70" s="66">
        <f t="shared" si="14"/>
        <v>1.8846074000000002</v>
      </c>
      <c r="J70" s="246">
        <f t="shared" si="17"/>
        <v>7538.4296000000004</v>
      </c>
      <c r="K70" s="66" cm="1">
        <f t="array" ref="K70">_FV(C70,"Price")</f>
        <v>3.1</v>
      </c>
      <c r="L70" s="66">
        <f>(N70-I70)*G70/7.8</f>
        <v>238.66287179487179</v>
      </c>
      <c r="M70" s="68">
        <f>L70*7.8/J70</f>
        <v>0.24694405848135795</v>
      </c>
      <c r="N70" s="174">
        <v>2.35</v>
      </c>
      <c r="O70" s="260">
        <v>44204</v>
      </c>
      <c r="P70" s="225">
        <v>44211</v>
      </c>
      <c r="Q70" s="239">
        <f>Table2[[#This Row],[Close Date]]-Table2[[#This Row],[Open Date]]</f>
        <v>7</v>
      </c>
      <c r="R70" s="259"/>
    </row>
    <row r="71" spans="2:22" x14ac:dyDescent="0.25">
      <c r="B71" s="220">
        <v>42</v>
      </c>
      <c r="C71" s="121" t="e" vm="31">
        <v>#VALUE!</v>
      </c>
      <c r="D71" s="121" t="s">
        <v>7</v>
      </c>
      <c r="E71" s="120" t="s">
        <v>12</v>
      </c>
      <c r="F71" s="122">
        <v>47.5</v>
      </c>
      <c r="G71" s="187">
        <v>500</v>
      </c>
      <c r="H71" s="122">
        <f>60*2+(F71*G71+Table2[[#This Row],[Exit Price]]*G71)*(0.1%+0.002%+0.0027%+0.005%)</f>
        <v>173.2045</v>
      </c>
      <c r="I71" s="122">
        <f t="shared" si="14"/>
        <v>47.846409000000001</v>
      </c>
      <c r="J71" s="244">
        <f t="shared" si="17"/>
        <v>23923.2045</v>
      </c>
      <c r="K71" s="122" cm="1">
        <f t="array" ref="K71">_FV(C71,"Price")</f>
        <v>55.3</v>
      </c>
      <c r="L71" s="122">
        <f>(N71-I71)*G71/7.8</f>
        <v>105.99942307692299</v>
      </c>
      <c r="M71" s="126">
        <f t="shared" ref="M71:M102" si="18">L71/J71</f>
        <v>4.4308204227791886E-3</v>
      </c>
      <c r="N71" s="123">
        <v>49.5</v>
      </c>
      <c r="O71" s="223">
        <v>44154</v>
      </c>
      <c r="P71" s="223">
        <v>44214</v>
      </c>
      <c r="Q71" s="237">
        <f>Table2[[#This Row],[Close Date]]-Table2[[#This Row],[Open Date]]</f>
        <v>60</v>
      </c>
      <c r="R71" s="178"/>
      <c r="T71" s="54"/>
      <c r="U71" s="134"/>
      <c r="V71" s="135"/>
    </row>
    <row r="72" spans="2:22" x14ac:dyDescent="0.25">
      <c r="B72" s="222">
        <v>43</v>
      </c>
      <c r="C72" s="65" t="e" vm="32">
        <v>#VALUE!</v>
      </c>
      <c r="D72" s="65" t="s">
        <v>10</v>
      </c>
      <c r="E72" s="115" t="s">
        <v>13</v>
      </c>
      <c r="F72" s="66">
        <v>60</v>
      </c>
      <c r="G72" s="189">
        <v>10</v>
      </c>
      <c r="H72" s="66">
        <f>8.88*2</f>
        <v>17.760000000000002</v>
      </c>
      <c r="I72" s="66">
        <f t="shared" si="14"/>
        <v>61.775999999999996</v>
      </c>
      <c r="J72" s="246">
        <f t="shared" si="17"/>
        <v>617.76</v>
      </c>
      <c r="K72" s="66" cm="1">
        <f t="array" ref="K72">_FV(C72,"Price")</f>
        <v>59.18</v>
      </c>
      <c r="L72" s="66">
        <f t="shared" ref="L72:L109" si="19">(N72-I72)*G72</f>
        <v>37.240000000000038</v>
      </c>
      <c r="M72" s="68">
        <f t="shared" si="18"/>
        <v>6.0282310282310347E-2</v>
      </c>
      <c r="N72" s="174">
        <v>65.5</v>
      </c>
      <c r="O72" s="260">
        <v>44145</v>
      </c>
      <c r="P72" s="225">
        <v>44215</v>
      </c>
      <c r="Q72" s="239">
        <f>Table2[[#This Row],[Close Date]]-Table2[[#This Row],[Open Date]]</f>
        <v>70</v>
      </c>
      <c r="R72" s="259"/>
    </row>
    <row r="73" spans="2:22" x14ac:dyDescent="0.25">
      <c r="B73" s="220">
        <v>44</v>
      </c>
      <c r="C73" s="121" t="e" vm="33">
        <v>#VALUE!</v>
      </c>
      <c r="D73" s="121" t="s">
        <v>21</v>
      </c>
      <c r="E73" s="120" t="s">
        <v>13</v>
      </c>
      <c r="F73" s="122">
        <v>67</v>
      </c>
      <c r="G73" s="187">
        <v>15</v>
      </c>
      <c r="H73" s="122">
        <f>8.88*2</f>
        <v>17.760000000000002</v>
      </c>
      <c r="I73" s="122">
        <f t="shared" si="14"/>
        <v>68.183999999999997</v>
      </c>
      <c r="J73" s="244">
        <f t="shared" si="17"/>
        <v>1022.76</v>
      </c>
      <c r="K73" s="122" cm="1">
        <f t="array" ref="K73">_FV(C73,"Price")</f>
        <v>3.19</v>
      </c>
      <c r="L73" s="122">
        <f t="shared" si="19"/>
        <v>5.9400000000000119</v>
      </c>
      <c r="M73" s="126">
        <f t="shared" si="18"/>
        <v>5.8078141499472132E-3</v>
      </c>
      <c r="N73" s="123">
        <v>68.58</v>
      </c>
      <c r="O73" s="223">
        <v>44202</v>
      </c>
      <c r="P73" s="223">
        <v>44215</v>
      </c>
      <c r="Q73" s="237">
        <f>Table2[[#This Row],[Close Date]]-Table2[[#This Row],[Open Date]]</f>
        <v>13</v>
      </c>
      <c r="R73" s="178"/>
      <c r="T73" s="54"/>
      <c r="U73" s="134"/>
      <c r="V73" s="135"/>
    </row>
    <row r="74" spans="2:22" x14ac:dyDescent="0.25">
      <c r="B74" s="220">
        <v>45</v>
      </c>
      <c r="C74" s="121" t="e" vm="34">
        <v>#VALUE!</v>
      </c>
      <c r="D74" s="121" t="s">
        <v>10</v>
      </c>
      <c r="E74" s="120" t="s">
        <v>13</v>
      </c>
      <c r="F74" s="122">
        <v>515</v>
      </c>
      <c r="G74" s="187">
        <v>2</v>
      </c>
      <c r="H74" s="122">
        <f>8.88*2</f>
        <v>17.760000000000002</v>
      </c>
      <c r="I74" s="122">
        <f t="shared" si="14"/>
        <v>523.88</v>
      </c>
      <c r="J74" s="244">
        <f t="shared" si="17"/>
        <v>1047.76</v>
      </c>
      <c r="K74" s="122" cm="1">
        <f t="array" ref="K74">_FV(C74,"Price")</f>
        <v>693.4</v>
      </c>
      <c r="L74" s="122">
        <f t="shared" si="19"/>
        <v>23.660000000000082</v>
      </c>
      <c r="M74" s="126">
        <f t="shared" si="18"/>
        <v>2.2581507215392916E-2</v>
      </c>
      <c r="N74" s="123">
        <v>535.71</v>
      </c>
      <c r="O74" s="223">
        <v>44156</v>
      </c>
      <c r="P74" s="223">
        <v>44215</v>
      </c>
      <c r="Q74" s="237">
        <f>Table2[[#This Row],[Close Date]]-Table2[[#This Row],[Open Date]]</f>
        <v>59</v>
      </c>
      <c r="R74" s="178"/>
      <c r="T74" s="54"/>
      <c r="U74" s="134"/>
      <c r="V74" s="135"/>
    </row>
    <row r="75" spans="2:22" x14ac:dyDescent="0.25">
      <c r="B75" s="221">
        <v>46</v>
      </c>
      <c r="C75" s="69" t="e" vm="35">
        <v>#VALUE!</v>
      </c>
      <c r="D75" s="69" t="s">
        <v>10</v>
      </c>
      <c r="E75" s="116" t="s">
        <v>13</v>
      </c>
      <c r="F75" s="173">
        <v>85.35</v>
      </c>
      <c r="G75" s="188">
        <v>30</v>
      </c>
      <c r="H75" s="173">
        <v>53.280000000000008</v>
      </c>
      <c r="I75" s="173">
        <f t="shared" si="14"/>
        <v>87.126000000000005</v>
      </c>
      <c r="J75" s="245">
        <f t="shared" si="17"/>
        <v>2613.7800000000002</v>
      </c>
      <c r="K75" s="173" cm="1">
        <f t="array" ref="K75">_FV(C75,"Price")</f>
        <v>21.25</v>
      </c>
      <c r="L75" s="70">
        <f t="shared" si="19"/>
        <v>-183.78000000000014</v>
      </c>
      <c r="M75" s="117">
        <f t="shared" si="18"/>
        <v>-7.0311961986089161E-2</v>
      </c>
      <c r="N75" s="173">
        <v>81</v>
      </c>
      <c r="O75" s="224">
        <v>44070</v>
      </c>
      <c r="P75" s="224">
        <v>44221</v>
      </c>
      <c r="Q75" s="238">
        <f>Table2[[#This Row],[Close Date]]-Table2[[#This Row],[Open Date]]</f>
        <v>151</v>
      </c>
      <c r="S75" s="43"/>
    </row>
    <row r="76" spans="2:22" x14ac:dyDescent="0.25">
      <c r="B76" s="222">
        <v>47</v>
      </c>
      <c r="C76" s="65" t="e" vm="35">
        <v>#VALUE!</v>
      </c>
      <c r="D76" s="65" t="s">
        <v>10</v>
      </c>
      <c r="E76" s="115" t="s">
        <v>13</v>
      </c>
      <c r="F76" s="66">
        <v>85.35</v>
      </c>
      <c r="G76" s="189">
        <v>10</v>
      </c>
      <c r="H76" s="66">
        <v>8.8800000000000008</v>
      </c>
      <c r="I76" s="66">
        <f t="shared" si="14"/>
        <v>86.238</v>
      </c>
      <c r="J76" s="246">
        <f t="shared" si="17"/>
        <v>862.38</v>
      </c>
      <c r="K76" s="66" cm="1">
        <f t="array" ref="K76">_FV(C76,"Price")</f>
        <v>21.25</v>
      </c>
      <c r="L76" s="66">
        <f t="shared" si="19"/>
        <v>77.62</v>
      </c>
      <c r="M76" s="68">
        <f t="shared" si="18"/>
        <v>9.0006725573413118E-2</v>
      </c>
      <c r="N76" s="174">
        <v>94</v>
      </c>
      <c r="O76" s="260">
        <v>44070</v>
      </c>
      <c r="P76" s="225">
        <v>44223</v>
      </c>
      <c r="Q76" s="239">
        <f>Table2[[#This Row],[Close Date]]-Table2[[#This Row],[Open Date]]</f>
        <v>153</v>
      </c>
      <c r="R76" s="259"/>
    </row>
    <row r="77" spans="2:22" x14ac:dyDescent="0.25">
      <c r="B77" s="221">
        <v>48</v>
      </c>
      <c r="C77" s="69" t="e" vm="14">
        <v>#VALUE!</v>
      </c>
      <c r="D77" s="69" t="s">
        <v>21</v>
      </c>
      <c r="E77" s="116" t="s">
        <v>13</v>
      </c>
      <c r="F77" s="173">
        <v>273.33333333333331</v>
      </c>
      <c r="G77" s="188">
        <v>12</v>
      </c>
      <c r="H77" s="173">
        <v>35.520000000000003</v>
      </c>
      <c r="I77" s="173">
        <f t="shared" si="14"/>
        <v>276.29333333333335</v>
      </c>
      <c r="J77" s="245">
        <f t="shared" si="17"/>
        <v>3315.5200000000004</v>
      </c>
      <c r="K77" s="173" cm="1">
        <f t="array" ref="K77">_FV(C77,"Price")</f>
        <v>115.09</v>
      </c>
      <c r="L77" s="70">
        <f t="shared" si="19"/>
        <v>-190.84000000000037</v>
      </c>
      <c r="M77" s="117">
        <f t="shared" si="18"/>
        <v>-5.7559598494353929E-2</v>
      </c>
      <c r="N77" s="173">
        <v>260.39</v>
      </c>
      <c r="O77" s="224">
        <v>44133</v>
      </c>
      <c r="P77" s="224">
        <v>44225</v>
      </c>
      <c r="Q77" s="238">
        <f>Table2[[#This Row],[Close Date]]-Table2[[#This Row],[Open Date]]</f>
        <v>92</v>
      </c>
      <c r="S77" s="43"/>
    </row>
    <row r="78" spans="2:22" x14ac:dyDescent="0.25">
      <c r="B78" s="221">
        <v>49</v>
      </c>
      <c r="C78" s="69" t="e" vm="36">
        <v>#VALUE!</v>
      </c>
      <c r="D78" s="69" t="s">
        <v>35</v>
      </c>
      <c r="E78" s="116" t="s">
        <v>13</v>
      </c>
      <c r="F78" s="173">
        <v>179.98888888888891</v>
      </c>
      <c r="G78" s="188">
        <v>18</v>
      </c>
      <c r="H78" s="173">
        <v>26.64</v>
      </c>
      <c r="I78" s="173">
        <f t="shared" si="14"/>
        <v>181.4688888888889</v>
      </c>
      <c r="J78" s="245">
        <f t="shared" si="17"/>
        <v>3266.44</v>
      </c>
      <c r="K78" s="173" cm="1">
        <f t="array" ref="K78">_FV(C78,"Price")</f>
        <v>179.06</v>
      </c>
      <c r="L78" s="70">
        <f t="shared" si="19"/>
        <v>-158.56000000000023</v>
      </c>
      <c r="M78" s="117">
        <f t="shared" si="18"/>
        <v>-4.8542143740586151E-2</v>
      </c>
      <c r="N78" s="173">
        <v>172.66</v>
      </c>
      <c r="O78" s="224">
        <v>44043</v>
      </c>
      <c r="P78" s="224">
        <v>44225</v>
      </c>
      <c r="Q78" s="238">
        <f>Table2[[#This Row],[Close Date]]-Table2[[#This Row],[Open Date]]</f>
        <v>182</v>
      </c>
      <c r="S78" s="43"/>
    </row>
    <row r="79" spans="2:22" x14ac:dyDescent="0.25">
      <c r="B79" s="221">
        <v>50</v>
      </c>
      <c r="C79" s="69" t="e" vm="37">
        <v>#VALUE!</v>
      </c>
      <c r="D79" s="69" t="s">
        <v>10</v>
      </c>
      <c r="E79" s="116" t="s">
        <v>13</v>
      </c>
      <c r="F79" s="173">
        <v>466</v>
      </c>
      <c r="G79" s="188">
        <v>2</v>
      </c>
      <c r="H79" s="173">
        <v>17.760000000000002</v>
      </c>
      <c r="I79" s="173">
        <f t="shared" si="14"/>
        <v>474.88</v>
      </c>
      <c r="J79" s="245">
        <f t="shared" si="17"/>
        <v>949.76</v>
      </c>
      <c r="K79" s="173" cm="1">
        <f t="array" ref="K79">_FV(C79,"Price")</f>
        <v>450.01</v>
      </c>
      <c r="L79" s="70">
        <f t="shared" si="19"/>
        <v>-16.639999999999986</v>
      </c>
      <c r="M79" s="117">
        <f t="shared" si="18"/>
        <v>-1.7520215633423167E-2</v>
      </c>
      <c r="N79" s="173">
        <v>466.56</v>
      </c>
      <c r="O79" s="224">
        <v>44202</v>
      </c>
      <c r="P79" s="224">
        <v>44225</v>
      </c>
      <c r="Q79" s="238">
        <f>Table2[[#This Row],[Close Date]]-Table2[[#This Row],[Open Date]]</f>
        <v>23</v>
      </c>
      <c r="S79" s="43"/>
    </row>
    <row r="80" spans="2:22" x14ac:dyDescent="0.25">
      <c r="B80" s="221">
        <v>51</v>
      </c>
      <c r="C80" s="69" t="e" vm="7">
        <v>#VALUE!</v>
      </c>
      <c r="D80" s="69" t="s">
        <v>10</v>
      </c>
      <c r="E80" s="116" t="s">
        <v>13</v>
      </c>
      <c r="F80" s="173">
        <v>270</v>
      </c>
      <c r="G80" s="188">
        <v>4</v>
      </c>
      <c r="H80" s="173">
        <f>8.88*2+1</f>
        <v>18.760000000000002</v>
      </c>
      <c r="I80" s="173">
        <f t="shared" si="14"/>
        <v>274.69</v>
      </c>
      <c r="J80" s="245">
        <f t="shared" si="17"/>
        <v>1098.76</v>
      </c>
      <c r="K80" s="173" cm="1">
        <f t="array" ref="K80">_FV(C80,"Price")</f>
        <v>223.59</v>
      </c>
      <c r="L80" s="70">
        <f t="shared" si="19"/>
        <v>-50.759999999999991</v>
      </c>
      <c r="M80" s="117">
        <f t="shared" si="18"/>
        <v>-4.6197531763078371E-2</v>
      </c>
      <c r="N80" s="173">
        <v>262</v>
      </c>
      <c r="O80" s="224">
        <v>44196</v>
      </c>
      <c r="P80" s="224">
        <v>44253</v>
      </c>
      <c r="Q80" s="238">
        <f>Table2[[#This Row],[Close Date]]-Table2[[#This Row],[Open Date]]</f>
        <v>57</v>
      </c>
      <c r="S80" s="43"/>
    </row>
    <row r="81" spans="2:22" x14ac:dyDescent="0.25">
      <c r="B81" s="221">
        <v>52</v>
      </c>
      <c r="C81" s="69" t="e" vm="7">
        <v>#VALUE!</v>
      </c>
      <c r="D81" s="69" t="s">
        <v>10</v>
      </c>
      <c r="E81" s="116" t="s">
        <v>13</v>
      </c>
      <c r="F81" s="173">
        <v>268</v>
      </c>
      <c r="G81" s="188">
        <v>15</v>
      </c>
      <c r="H81" s="173">
        <f>8.88*2+1</f>
        <v>18.760000000000002</v>
      </c>
      <c r="I81" s="173">
        <f t="shared" si="14"/>
        <v>269.25066666666669</v>
      </c>
      <c r="J81" s="245">
        <f t="shared" si="17"/>
        <v>4038.76</v>
      </c>
      <c r="K81" s="173" cm="1">
        <f t="array" ref="K81">_FV(C81,"Price")</f>
        <v>223.59</v>
      </c>
      <c r="L81" s="70">
        <f t="shared" si="19"/>
        <v>-63.760000000000332</v>
      </c>
      <c r="M81" s="117">
        <f t="shared" si="18"/>
        <v>-1.5787023739959872E-2</v>
      </c>
      <c r="N81" s="173">
        <v>265</v>
      </c>
      <c r="O81" s="224">
        <v>44224</v>
      </c>
      <c r="P81" s="224">
        <v>44259</v>
      </c>
      <c r="Q81" s="238">
        <f>Table2[[#This Row],[Close Date]]-Table2[[#This Row],[Open Date]]</f>
        <v>35</v>
      </c>
      <c r="S81" s="43"/>
    </row>
    <row r="82" spans="2:22" x14ac:dyDescent="0.25">
      <c r="B82" s="222">
        <v>53</v>
      </c>
      <c r="C82" s="65" t="e" vm="18">
        <v>#VALUE!</v>
      </c>
      <c r="D82" s="65" t="s">
        <v>21</v>
      </c>
      <c r="E82" s="115" t="s">
        <v>13</v>
      </c>
      <c r="F82" s="66">
        <v>13.5</v>
      </c>
      <c r="G82" s="189">
        <f>25</f>
        <v>25</v>
      </c>
      <c r="H82" s="66">
        <f>8.88*2</f>
        <v>17.760000000000002</v>
      </c>
      <c r="I82" s="66">
        <f t="shared" si="14"/>
        <v>14.2104</v>
      </c>
      <c r="J82" s="246">
        <f t="shared" si="17"/>
        <v>355.26</v>
      </c>
      <c r="K82" s="66" cm="1">
        <f t="array" ref="K82">_FV(C82,"Price")</f>
        <v>6</v>
      </c>
      <c r="L82" s="66">
        <f t="shared" si="19"/>
        <v>22.990000000000023</v>
      </c>
      <c r="M82" s="68">
        <f t="shared" si="18"/>
        <v>6.4713167820751066E-2</v>
      </c>
      <c r="N82" s="174">
        <v>15.13</v>
      </c>
      <c r="O82" s="260">
        <v>44137</v>
      </c>
      <c r="P82" s="225">
        <v>44260</v>
      </c>
      <c r="Q82" s="239">
        <f>Table2[[#This Row],[Close Date]]-Table2[[#This Row],[Open Date]]</f>
        <v>123</v>
      </c>
      <c r="R82" s="259"/>
    </row>
    <row r="83" spans="2:22" x14ac:dyDescent="0.25">
      <c r="B83" s="220">
        <v>54</v>
      </c>
      <c r="C83" s="121" t="e" vm="7">
        <v>#VALUE!</v>
      </c>
      <c r="D83" s="121" t="s">
        <v>10</v>
      </c>
      <c r="E83" s="120" t="s">
        <v>13</v>
      </c>
      <c r="F83" s="122">
        <v>262</v>
      </c>
      <c r="G83" s="187">
        <v>60</v>
      </c>
      <c r="H83" s="122">
        <f>8.88*2+1</f>
        <v>18.760000000000002</v>
      </c>
      <c r="I83" s="122">
        <f t="shared" si="14"/>
        <v>262.31266666666664</v>
      </c>
      <c r="J83" s="244">
        <f t="shared" si="17"/>
        <v>15738.759999999998</v>
      </c>
      <c r="K83" s="122" cm="1">
        <f t="array" ref="K83">_FV(C83,"Price")</f>
        <v>223.59</v>
      </c>
      <c r="L83" s="122">
        <f t="shared" si="19"/>
        <v>161.24000000000137</v>
      </c>
      <c r="M83" s="126">
        <f t="shared" si="18"/>
        <v>1.0244771506776988E-2</v>
      </c>
      <c r="N83" s="123">
        <v>265</v>
      </c>
      <c r="O83" s="223">
        <v>44263</v>
      </c>
      <c r="P83" s="223">
        <v>44264</v>
      </c>
      <c r="Q83" s="237">
        <f>Table2[[#This Row],[Close Date]]-Table2[[#This Row],[Open Date]]</f>
        <v>1</v>
      </c>
      <c r="R83" s="178"/>
      <c r="T83" s="54"/>
      <c r="U83" s="134"/>
      <c r="V83" s="135"/>
    </row>
    <row r="84" spans="2:22" x14ac:dyDescent="0.25">
      <c r="B84" s="221">
        <v>55</v>
      </c>
      <c r="C84" s="69" t="e" vm="7">
        <v>#VALUE!</v>
      </c>
      <c r="D84" s="69" t="s">
        <v>10</v>
      </c>
      <c r="E84" s="116" t="s">
        <v>13</v>
      </c>
      <c r="F84" s="173">
        <v>270</v>
      </c>
      <c r="G84" s="188">
        <v>50</v>
      </c>
      <c r="H84" s="173">
        <f>8.88*2+1</f>
        <v>18.760000000000002</v>
      </c>
      <c r="I84" s="173">
        <f t="shared" si="14"/>
        <v>270.37520000000001</v>
      </c>
      <c r="J84" s="245">
        <f t="shared" si="17"/>
        <v>13518.76</v>
      </c>
      <c r="K84" s="173" cm="1">
        <f t="array" ref="K84">_FV(C84,"Price")</f>
        <v>223.59</v>
      </c>
      <c r="L84" s="70">
        <f t="shared" si="19"/>
        <v>-243.76000000000033</v>
      </c>
      <c r="M84" s="117">
        <f t="shared" si="18"/>
        <v>-1.8031239551556527E-2</v>
      </c>
      <c r="N84" s="173">
        <v>265.5</v>
      </c>
      <c r="O84" s="224">
        <v>44224</v>
      </c>
      <c r="P84" s="224">
        <v>44264</v>
      </c>
      <c r="Q84" s="238">
        <f>Table2[[#This Row],[Close Date]]-Table2[[#This Row],[Open Date]]</f>
        <v>40</v>
      </c>
      <c r="R84" s="430"/>
    </row>
    <row r="85" spans="2:22" x14ac:dyDescent="0.25">
      <c r="B85" s="221">
        <v>56</v>
      </c>
      <c r="C85" s="69" t="e" vm="7">
        <v>#VALUE!</v>
      </c>
      <c r="D85" s="69" t="s">
        <v>10</v>
      </c>
      <c r="E85" s="116" t="s">
        <v>13</v>
      </c>
      <c r="F85" s="173">
        <v>272</v>
      </c>
      <c r="G85" s="188">
        <v>50</v>
      </c>
      <c r="H85" s="173">
        <f>8.88+1</f>
        <v>9.8800000000000008</v>
      </c>
      <c r="I85" s="173">
        <f t="shared" si="14"/>
        <v>272.19759999999997</v>
      </c>
      <c r="J85" s="245">
        <f t="shared" si="17"/>
        <v>13609.879999999997</v>
      </c>
      <c r="K85" s="173" cm="1">
        <f t="array" ref="K85">_FV(C85,"Price")</f>
        <v>223.59</v>
      </c>
      <c r="L85" s="70">
        <f t="shared" si="19"/>
        <v>-309.87999999999829</v>
      </c>
      <c r="M85" s="117">
        <f t="shared" si="18"/>
        <v>-2.2768753288052383E-2</v>
      </c>
      <c r="N85" s="173">
        <v>266</v>
      </c>
      <c r="O85" s="224">
        <v>44224</v>
      </c>
      <c r="P85" s="224">
        <v>44264</v>
      </c>
      <c r="Q85" s="238">
        <f>Table2[[#This Row],[Close Date]]-Table2[[#This Row],[Open Date]]</f>
        <v>40</v>
      </c>
      <c r="R85" s="430"/>
    </row>
    <row r="86" spans="2:22" x14ac:dyDescent="0.25">
      <c r="B86" s="221">
        <v>57</v>
      </c>
      <c r="C86" s="69" t="e" vm="7">
        <v>#VALUE!</v>
      </c>
      <c r="D86" s="69" t="s">
        <v>10</v>
      </c>
      <c r="E86" s="116" t="s">
        <v>13</v>
      </c>
      <c r="F86" s="173">
        <v>268</v>
      </c>
      <c r="G86" s="188">
        <v>15</v>
      </c>
      <c r="H86" s="173">
        <f>8.88+1</f>
        <v>9.8800000000000008</v>
      </c>
      <c r="I86" s="173">
        <f t="shared" si="14"/>
        <v>268.65866666666665</v>
      </c>
      <c r="J86" s="245">
        <f t="shared" si="17"/>
        <v>4029.8799999999997</v>
      </c>
      <c r="K86" s="173" cm="1">
        <f t="array" ref="K86">_FV(C86,"Price")</f>
        <v>223.59</v>
      </c>
      <c r="L86" s="70">
        <f t="shared" si="19"/>
        <v>-39.879999999999711</v>
      </c>
      <c r="M86" s="117">
        <f t="shared" si="18"/>
        <v>-9.8960763099644935E-3</v>
      </c>
      <c r="N86" s="173">
        <v>266</v>
      </c>
      <c r="O86" s="224">
        <v>44224</v>
      </c>
      <c r="P86" s="224">
        <v>44264</v>
      </c>
      <c r="Q86" s="238">
        <f>Table2[[#This Row],[Close Date]]-Table2[[#This Row],[Open Date]]</f>
        <v>40</v>
      </c>
      <c r="R86" s="430"/>
    </row>
    <row r="87" spans="2:22" x14ac:dyDescent="0.25">
      <c r="B87" s="221">
        <v>58</v>
      </c>
      <c r="C87" s="69" t="e" vm="7">
        <v>#VALUE!</v>
      </c>
      <c r="D87" s="69" t="s">
        <v>10</v>
      </c>
      <c r="E87" s="116" t="s">
        <v>13</v>
      </c>
      <c r="F87" s="173">
        <v>268</v>
      </c>
      <c r="G87" s="188">
        <v>20</v>
      </c>
      <c r="H87" s="173">
        <f>8.88+1</f>
        <v>9.8800000000000008</v>
      </c>
      <c r="I87" s="173">
        <f t="shared" si="14"/>
        <v>268.49400000000003</v>
      </c>
      <c r="J87" s="245">
        <f t="shared" si="17"/>
        <v>5369.880000000001</v>
      </c>
      <c r="K87" s="173" cm="1">
        <f t="array" ref="K87">_FV(C87,"Price")</f>
        <v>223.59</v>
      </c>
      <c r="L87" s="70">
        <f t="shared" si="19"/>
        <v>-9.8800000000005639</v>
      </c>
      <c r="M87" s="117">
        <f t="shared" si="18"/>
        <v>-1.8398921391168074E-3</v>
      </c>
      <c r="N87" s="173">
        <v>268</v>
      </c>
      <c r="O87" s="224">
        <v>44224</v>
      </c>
      <c r="P87" s="224">
        <v>44264</v>
      </c>
      <c r="Q87" s="238">
        <f>Table2[[#This Row],[Close Date]]-Table2[[#This Row],[Open Date]]</f>
        <v>40</v>
      </c>
      <c r="R87" s="430"/>
    </row>
    <row r="88" spans="2:22" x14ac:dyDescent="0.25">
      <c r="B88" s="221">
        <v>59</v>
      </c>
      <c r="C88" s="69" t="e" vm="7">
        <v>#VALUE!</v>
      </c>
      <c r="D88" s="69" t="s">
        <v>10</v>
      </c>
      <c r="E88" s="116" t="s">
        <v>13</v>
      </c>
      <c r="F88" s="173">
        <v>274</v>
      </c>
      <c r="G88" s="188">
        <v>30</v>
      </c>
      <c r="H88" s="173">
        <f>8.88+1</f>
        <v>9.8800000000000008</v>
      </c>
      <c r="I88" s="173">
        <f t="shared" si="14"/>
        <v>274.3293333333333</v>
      </c>
      <c r="J88" s="245">
        <f t="shared" si="17"/>
        <v>8229.8799999999992</v>
      </c>
      <c r="K88" s="173" cm="1">
        <f t="array" ref="K88">_FV(C88,"Price")</f>
        <v>223.59</v>
      </c>
      <c r="L88" s="70">
        <f t="shared" si="19"/>
        <v>-189.87999999999886</v>
      </c>
      <c r="M88" s="117">
        <f t="shared" si="18"/>
        <v>-2.3072025351523823E-2</v>
      </c>
      <c r="N88" s="173">
        <v>268</v>
      </c>
      <c r="O88" s="224">
        <v>44224</v>
      </c>
      <c r="P88" s="224">
        <v>44264</v>
      </c>
      <c r="Q88" s="238">
        <f>Table2[[#This Row],[Close Date]]-Table2[[#This Row],[Open Date]]</f>
        <v>40</v>
      </c>
      <c r="R88" s="430"/>
    </row>
    <row r="89" spans="2:22" x14ac:dyDescent="0.25">
      <c r="B89" s="220">
        <v>60</v>
      </c>
      <c r="C89" s="121" t="e" vm="14">
        <v>#VALUE!</v>
      </c>
      <c r="D89" s="121" t="s">
        <v>10</v>
      </c>
      <c r="E89" s="120" t="s">
        <v>13</v>
      </c>
      <c r="F89" s="122">
        <v>237.5</v>
      </c>
      <c r="G89" s="187">
        <v>60</v>
      </c>
      <c r="H89" s="122">
        <f>8.88*2+1</f>
        <v>18.760000000000002</v>
      </c>
      <c r="I89" s="122">
        <f t="shared" si="14"/>
        <v>237.81266666666667</v>
      </c>
      <c r="J89" s="244">
        <f t="shared" si="17"/>
        <v>14268.76</v>
      </c>
      <c r="K89" s="122" cm="1">
        <f t="array" ref="K89">_FV(C89,"Price")</f>
        <v>115.09</v>
      </c>
      <c r="L89" s="122">
        <f t="shared" si="19"/>
        <v>131.23999999999967</v>
      </c>
      <c r="M89" s="126">
        <f t="shared" si="18"/>
        <v>9.1977158491697714E-3</v>
      </c>
      <c r="N89" s="123">
        <v>240</v>
      </c>
      <c r="O89" s="223">
        <v>44265</v>
      </c>
      <c r="P89" s="223">
        <v>44266</v>
      </c>
      <c r="Q89" s="237">
        <f>Table2[[#This Row],[Close Date]]-Table2[[#This Row],[Open Date]]</f>
        <v>1</v>
      </c>
      <c r="R89" s="178"/>
      <c r="T89" s="54"/>
      <c r="U89" s="134"/>
      <c r="V89" s="135"/>
    </row>
    <row r="90" spans="2:22" x14ac:dyDescent="0.25">
      <c r="B90" s="220">
        <v>61</v>
      </c>
      <c r="C90" s="121" t="e" vm="7">
        <v>#VALUE!</v>
      </c>
      <c r="D90" s="121" t="s">
        <v>10</v>
      </c>
      <c r="E90" s="120" t="s">
        <v>13</v>
      </c>
      <c r="F90" s="122">
        <f>(277*90+274*10)/100</f>
        <v>276.7</v>
      </c>
      <c r="G90" s="187">
        <f>90+10</f>
        <v>100</v>
      </c>
      <c r="H90" s="122">
        <v>18.760000000000002</v>
      </c>
      <c r="I90" s="122">
        <f t="shared" si="14"/>
        <v>276.88759999999996</v>
      </c>
      <c r="J90" s="244">
        <f t="shared" si="17"/>
        <v>27688.759999999995</v>
      </c>
      <c r="K90" s="122" cm="1">
        <f t="array" ref="K90">_FV(C90,"Price")</f>
        <v>223.59</v>
      </c>
      <c r="L90" s="122">
        <f t="shared" si="19"/>
        <v>11.240000000003647</v>
      </c>
      <c r="M90" s="126">
        <f t="shared" si="18"/>
        <v>4.059408944280513E-4</v>
      </c>
      <c r="N90" s="123">
        <v>277</v>
      </c>
      <c r="O90" s="223">
        <v>44224</v>
      </c>
      <c r="P90" s="223">
        <v>44266</v>
      </c>
      <c r="Q90" s="237">
        <f>Table2[[#This Row],[Close Date]]-Table2[[#This Row],[Open Date]]</f>
        <v>42</v>
      </c>
      <c r="R90" s="178"/>
      <c r="T90" s="54"/>
      <c r="U90" s="134"/>
      <c r="V90" s="135"/>
    </row>
    <row r="91" spans="2:22" x14ac:dyDescent="0.25">
      <c r="B91" s="220">
        <v>62</v>
      </c>
      <c r="C91" s="121" t="e" vm="7">
        <v>#VALUE!</v>
      </c>
      <c r="D91" s="121" t="s">
        <v>10</v>
      </c>
      <c r="E91" s="120" t="s">
        <v>13</v>
      </c>
      <c r="F91" s="122">
        <f>(274+265)/2</f>
        <v>269.5</v>
      </c>
      <c r="G91" s="187">
        <v>50</v>
      </c>
      <c r="H91" s="122">
        <v>19.760000000000002</v>
      </c>
      <c r="I91" s="122">
        <f t="shared" ref="I91:I115" si="20">((F91*G91)+H91)/G91</f>
        <v>269.89519999999999</v>
      </c>
      <c r="J91" s="244">
        <f t="shared" si="17"/>
        <v>13494.76</v>
      </c>
      <c r="K91" s="122" cm="1">
        <f t="array" ref="K91">_FV(C91,"Price")</f>
        <v>223.59</v>
      </c>
      <c r="L91" s="122">
        <f t="shared" si="19"/>
        <v>605.24000000000058</v>
      </c>
      <c r="M91" s="126">
        <f t="shared" si="18"/>
        <v>4.485000103743976E-2</v>
      </c>
      <c r="N91" s="123">
        <v>282</v>
      </c>
      <c r="O91" s="223">
        <v>44224</v>
      </c>
      <c r="P91" s="223">
        <v>44271</v>
      </c>
      <c r="Q91" s="237">
        <f>Table2[[#This Row],[Close Date]]-Table2[[#This Row],[Open Date]]</f>
        <v>47</v>
      </c>
      <c r="R91" s="178"/>
      <c r="T91" s="54"/>
      <c r="U91" s="134"/>
      <c r="V91" s="135"/>
    </row>
    <row r="92" spans="2:22" x14ac:dyDescent="0.25">
      <c r="B92" s="220">
        <v>63</v>
      </c>
      <c r="C92" s="121" t="e" vm="14">
        <v>#VALUE!</v>
      </c>
      <c r="D92" s="121" t="s">
        <v>10</v>
      </c>
      <c r="E92" s="120" t="s">
        <v>13</v>
      </c>
      <c r="F92" s="122">
        <v>227</v>
      </c>
      <c r="G92" s="187">
        <v>50</v>
      </c>
      <c r="H92" s="122">
        <f>8.88*2+1</f>
        <v>18.760000000000002</v>
      </c>
      <c r="I92" s="122">
        <f t="shared" si="20"/>
        <v>227.37520000000001</v>
      </c>
      <c r="J92" s="244">
        <f t="shared" si="17"/>
        <v>11368.76</v>
      </c>
      <c r="K92" s="122" cm="1">
        <f t="array" ref="K92">_FV(C92,"Price")</f>
        <v>115.09</v>
      </c>
      <c r="L92" s="122">
        <f t="shared" si="19"/>
        <v>81.239999999999668</v>
      </c>
      <c r="M92" s="126">
        <f t="shared" si="18"/>
        <v>7.1458980574838123E-3</v>
      </c>
      <c r="N92" s="123">
        <v>229</v>
      </c>
      <c r="O92" s="223">
        <v>44271</v>
      </c>
      <c r="P92" s="223">
        <v>44272</v>
      </c>
      <c r="Q92" s="237">
        <f>Table2[[#This Row],[Close Date]]-Table2[[#This Row],[Open Date]]</f>
        <v>1</v>
      </c>
      <c r="R92" s="178"/>
      <c r="T92" s="54"/>
      <c r="U92" s="134"/>
      <c r="V92" s="135"/>
    </row>
    <row r="93" spans="2:22" x14ac:dyDescent="0.25">
      <c r="B93" s="222">
        <v>64</v>
      </c>
      <c r="C93" s="65" t="e" vm="7">
        <v>#VALUE!</v>
      </c>
      <c r="D93" s="65" t="s">
        <v>10</v>
      </c>
      <c r="E93" s="115" t="s">
        <v>13</v>
      </c>
      <c r="F93" s="66">
        <f>(274+265)/2</f>
        <v>269.5</v>
      </c>
      <c r="G93" s="189">
        <v>50</v>
      </c>
      <c r="H93" s="66">
        <v>19.760000000000002</v>
      </c>
      <c r="I93" s="66">
        <f t="shared" si="20"/>
        <v>269.89519999999999</v>
      </c>
      <c r="J93" s="246">
        <f t="shared" si="17"/>
        <v>13494.76</v>
      </c>
      <c r="K93" s="66" cm="1">
        <f t="array" ref="K93">_FV(C93,"Price")</f>
        <v>223.59</v>
      </c>
      <c r="L93" s="66">
        <f t="shared" si="19"/>
        <v>905.24000000000058</v>
      </c>
      <c r="M93" s="68">
        <f t="shared" si="18"/>
        <v>6.7080852123342735E-2</v>
      </c>
      <c r="N93" s="174">
        <v>288</v>
      </c>
      <c r="O93" s="260">
        <v>44224</v>
      </c>
      <c r="P93" s="225">
        <v>44274</v>
      </c>
      <c r="Q93" s="239">
        <f>Table2[[#This Row],[Close Date]]-Table2[[#This Row],[Open Date]]</f>
        <v>50</v>
      </c>
      <c r="R93" s="259"/>
    </row>
    <row r="94" spans="2:22" x14ac:dyDescent="0.25">
      <c r="B94" s="221">
        <v>65</v>
      </c>
      <c r="C94" s="69" t="e" vm="13">
        <v>#VALUE!</v>
      </c>
      <c r="D94" s="69" t="s">
        <v>10</v>
      </c>
      <c r="E94" s="116" t="s">
        <v>13</v>
      </c>
      <c r="F94" s="173">
        <v>85.6</v>
      </c>
      <c r="G94" s="188">
        <v>15</v>
      </c>
      <c r="H94" s="173">
        <f>8.88*2+1</f>
        <v>18.760000000000002</v>
      </c>
      <c r="I94" s="173">
        <f t="shared" si="20"/>
        <v>86.850666666666669</v>
      </c>
      <c r="J94" s="245">
        <f t="shared" ref="J94:J109" si="21">I94*G94</f>
        <v>1302.76</v>
      </c>
      <c r="K94" s="173" cm="1">
        <f t="array" ref="K94">_FV(C94,"Price")</f>
        <v>71.180000000000007</v>
      </c>
      <c r="L94" s="70">
        <f t="shared" si="19"/>
        <v>-9.7599999999999909</v>
      </c>
      <c r="M94" s="117">
        <f t="shared" si="18"/>
        <v>-7.4917866683042091E-3</v>
      </c>
      <c r="N94" s="173">
        <v>86.2</v>
      </c>
      <c r="O94" s="224">
        <v>44271</v>
      </c>
      <c r="P94" s="224">
        <v>44278</v>
      </c>
      <c r="Q94" s="238">
        <f>Table2[[#This Row],[Close Date]]-Table2[[#This Row],[Open Date]]</f>
        <v>7</v>
      </c>
      <c r="R94" s="430"/>
    </row>
    <row r="95" spans="2:22" x14ac:dyDescent="0.25">
      <c r="B95" s="220">
        <v>66</v>
      </c>
      <c r="C95" s="121" t="e" vm="38">
        <v>#VALUE!</v>
      </c>
      <c r="D95" s="121" t="s">
        <v>10</v>
      </c>
      <c r="E95" s="120" t="s">
        <v>13</v>
      </c>
      <c r="F95" s="122">
        <v>257</v>
      </c>
      <c r="G95" s="187">
        <v>50</v>
      </c>
      <c r="H95" s="122">
        <f>H244</f>
        <v>9.64</v>
      </c>
      <c r="I95" s="122">
        <f t="shared" si="20"/>
        <v>257.19279999999998</v>
      </c>
      <c r="J95" s="244">
        <f t="shared" si="21"/>
        <v>12859.64</v>
      </c>
      <c r="K95" s="122" cm="1">
        <f t="array" ref="K95">_FV(C95,"Price")</f>
        <v>147.44999999999999</v>
      </c>
      <c r="L95" s="122">
        <f t="shared" si="19"/>
        <v>140.36000000000115</v>
      </c>
      <c r="M95" s="126">
        <f t="shared" si="18"/>
        <v>1.0914768998199107E-2</v>
      </c>
      <c r="N95" s="123">
        <v>260</v>
      </c>
      <c r="O95" s="223">
        <v>44277</v>
      </c>
      <c r="P95" s="223">
        <v>44278</v>
      </c>
      <c r="Q95" s="237">
        <f>Table2[[#This Row],[Close Date]]-Table2[[#This Row],[Open Date]]</f>
        <v>1</v>
      </c>
      <c r="R95" s="178"/>
      <c r="T95" s="54"/>
      <c r="U95" s="134"/>
      <c r="V95" s="135"/>
    </row>
    <row r="96" spans="2:22" x14ac:dyDescent="0.25">
      <c r="B96" s="220">
        <v>67</v>
      </c>
      <c r="C96" s="121" t="e" vm="39">
        <v>#VALUE!</v>
      </c>
      <c r="D96" s="121" t="s">
        <v>10</v>
      </c>
      <c r="E96" s="120" t="s">
        <v>13</v>
      </c>
      <c r="F96" s="122">
        <v>121</v>
      </c>
      <c r="G96" s="187">
        <v>100</v>
      </c>
      <c r="H96" s="122">
        <f>8.88*2+1</f>
        <v>18.760000000000002</v>
      </c>
      <c r="I96" s="122">
        <f t="shared" si="20"/>
        <v>121.1876</v>
      </c>
      <c r="J96" s="244">
        <f t="shared" si="21"/>
        <v>12118.76</v>
      </c>
      <c r="K96" s="122" cm="1">
        <f t="array" ref="K96">_FV(C96,"Price")</f>
        <v>175.6</v>
      </c>
      <c r="L96" s="122">
        <f t="shared" si="19"/>
        <v>31.239999999999668</v>
      </c>
      <c r="M96" s="126">
        <f t="shared" si="18"/>
        <v>2.5778214932880646E-3</v>
      </c>
      <c r="N96" s="123">
        <v>121.5</v>
      </c>
      <c r="O96" s="223">
        <v>44277</v>
      </c>
      <c r="P96" s="223">
        <v>44278</v>
      </c>
      <c r="Q96" s="237">
        <f>Table2[[#This Row],[Close Date]]-Table2[[#This Row],[Open Date]]</f>
        <v>1</v>
      </c>
      <c r="R96" s="178"/>
      <c r="T96" s="54"/>
      <c r="U96" s="134"/>
      <c r="V96" s="135"/>
    </row>
    <row r="97" spans="2:22" x14ac:dyDescent="0.25">
      <c r="B97" s="220">
        <v>68</v>
      </c>
      <c r="C97" s="121" t="e" vm="40">
        <v>#VALUE!</v>
      </c>
      <c r="D97" s="121" t="s">
        <v>10</v>
      </c>
      <c r="E97" s="120" t="s">
        <v>13</v>
      </c>
      <c r="F97" s="122">
        <v>80.8</v>
      </c>
      <c r="G97" s="187">
        <v>100</v>
      </c>
      <c r="H97" s="122">
        <f>6.88*2+1</f>
        <v>14.76</v>
      </c>
      <c r="I97" s="122">
        <f t="shared" si="20"/>
        <v>80.947600000000008</v>
      </c>
      <c r="J97" s="244">
        <f t="shared" si="21"/>
        <v>8094.7600000000011</v>
      </c>
      <c r="K97" s="122" cm="1">
        <f t="array" ref="K97">_FV(C97,"Price")</f>
        <v>59.77</v>
      </c>
      <c r="L97" s="122">
        <f t="shared" si="19"/>
        <v>105.23999999999916</v>
      </c>
      <c r="M97" s="126">
        <f t="shared" si="18"/>
        <v>1.3001003118066396E-2</v>
      </c>
      <c r="N97" s="123">
        <v>82</v>
      </c>
      <c r="O97" s="223">
        <v>44279</v>
      </c>
      <c r="P97" s="223">
        <v>44281</v>
      </c>
      <c r="Q97" s="237">
        <f>Table2[[#This Row],[Close Date]]-Table2[[#This Row],[Open Date]]</f>
        <v>2</v>
      </c>
      <c r="R97" s="178"/>
      <c r="T97" s="54"/>
      <c r="U97" s="134"/>
      <c r="V97" s="135"/>
    </row>
    <row r="98" spans="2:22" x14ac:dyDescent="0.25">
      <c r="B98" s="221">
        <v>69</v>
      </c>
      <c r="C98" s="69" t="e" vm="41">
        <v>#VALUE!</v>
      </c>
      <c r="D98" s="69" t="s">
        <v>10</v>
      </c>
      <c r="E98" s="116" t="s">
        <v>13</v>
      </c>
      <c r="F98" s="173">
        <v>96.25</v>
      </c>
      <c r="G98" s="188">
        <v>150</v>
      </c>
      <c r="H98" s="173">
        <v>21.64</v>
      </c>
      <c r="I98" s="173">
        <f t="shared" si="20"/>
        <v>96.394266666666667</v>
      </c>
      <c r="J98" s="245">
        <f t="shared" si="21"/>
        <v>14459.14</v>
      </c>
      <c r="K98" s="173" cm="1">
        <f t="array" ref="K98">_FV(C98,"Price")</f>
        <v>28.54</v>
      </c>
      <c r="L98" s="70">
        <f t="shared" si="19"/>
        <v>-59.140000000000015</v>
      </c>
      <c r="M98" s="117">
        <f t="shared" si="18"/>
        <v>-4.0901464402447185E-3</v>
      </c>
      <c r="N98" s="173">
        <v>96</v>
      </c>
      <c r="O98" s="224">
        <v>44279</v>
      </c>
      <c r="P98" s="224">
        <v>44281</v>
      </c>
      <c r="Q98" s="238">
        <f>Table2[[#This Row],[Close Date]]-Table2[[#This Row],[Open Date]]</f>
        <v>2</v>
      </c>
      <c r="R98" s="430"/>
    </row>
    <row r="99" spans="2:22" x14ac:dyDescent="0.25">
      <c r="B99" s="221">
        <v>70</v>
      </c>
      <c r="C99" s="69" t="e" vm="41">
        <v>#VALUE!</v>
      </c>
      <c r="D99" s="69" t="s">
        <v>10</v>
      </c>
      <c r="E99" s="116" t="s">
        <v>13</v>
      </c>
      <c r="F99" s="173">
        <v>96.25</v>
      </c>
      <c r="G99" s="188">
        <v>50</v>
      </c>
      <c r="H99" s="173">
        <v>6.88</v>
      </c>
      <c r="I99" s="173">
        <f t="shared" si="20"/>
        <v>96.387600000000006</v>
      </c>
      <c r="J99" s="245">
        <f t="shared" si="21"/>
        <v>4819.38</v>
      </c>
      <c r="K99" s="173" cm="1">
        <f t="array" ref="K99">_FV(C99,"Price")</f>
        <v>28.54</v>
      </c>
      <c r="L99" s="70">
        <f t="shared" si="19"/>
        <v>-9.380000000000166</v>
      </c>
      <c r="M99" s="117">
        <f t="shared" si="18"/>
        <v>-1.9463084463147056E-3</v>
      </c>
      <c r="N99" s="173">
        <v>96.2</v>
      </c>
      <c r="O99" s="224">
        <v>44279</v>
      </c>
      <c r="P99" s="224">
        <v>44281</v>
      </c>
      <c r="Q99" s="238">
        <f>Table2[[#This Row],[Close Date]]-Table2[[#This Row],[Open Date]]</f>
        <v>2</v>
      </c>
      <c r="R99" s="430"/>
    </row>
    <row r="100" spans="2:22" x14ac:dyDescent="0.25">
      <c r="B100" s="220">
        <v>71</v>
      </c>
      <c r="C100" s="121" t="e" vm="6">
        <v>#VALUE!</v>
      </c>
      <c r="D100" s="121" t="s">
        <v>10</v>
      </c>
      <c r="E100" s="120" t="s">
        <v>13</v>
      </c>
      <c r="F100" s="122">
        <v>132</v>
      </c>
      <c r="G100" s="187">
        <v>100</v>
      </c>
      <c r="H100" s="122">
        <f>6.88*2+1</f>
        <v>14.76</v>
      </c>
      <c r="I100" s="122">
        <f t="shared" si="20"/>
        <v>132.14760000000001</v>
      </c>
      <c r="J100" s="244">
        <f t="shared" si="21"/>
        <v>13214.760000000002</v>
      </c>
      <c r="K100" s="122" cm="1">
        <f t="array" ref="K100">_FV(C100,"Price")</f>
        <v>158.44999999999999</v>
      </c>
      <c r="L100" s="122">
        <f t="shared" si="19"/>
        <v>115.24000000000001</v>
      </c>
      <c r="M100" s="126">
        <f t="shared" si="18"/>
        <v>8.7205518677599889E-3</v>
      </c>
      <c r="N100" s="123">
        <v>133.30000000000001</v>
      </c>
      <c r="O100" s="223">
        <v>44284</v>
      </c>
      <c r="P100" s="223">
        <v>44286</v>
      </c>
      <c r="Q100" s="237">
        <f>Table2[[#This Row],[Close Date]]-Table2[[#This Row],[Open Date]]</f>
        <v>2</v>
      </c>
      <c r="R100" s="178"/>
      <c r="T100" s="54"/>
      <c r="U100" s="134"/>
      <c r="V100" s="135"/>
    </row>
    <row r="101" spans="2:22" x14ac:dyDescent="0.25">
      <c r="B101" s="222">
        <v>72</v>
      </c>
      <c r="C101" s="65" t="e" vm="39">
        <v>#VALUE!</v>
      </c>
      <c r="D101" s="65" t="s">
        <v>10</v>
      </c>
      <c r="E101" s="115" t="s">
        <v>13</v>
      </c>
      <c r="F101" s="66">
        <v>123.8</v>
      </c>
      <c r="G101" s="189">
        <v>100</v>
      </c>
      <c r="H101" s="66">
        <f>8.88*2+1</f>
        <v>18.760000000000002</v>
      </c>
      <c r="I101" s="66">
        <f t="shared" si="20"/>
        <v>123.9876</v>
      </c>
      <c r="J101" s="246">
        <f t="shared" si="21"/>
        <v>12398.76</v>
      </c>
      <c r="K101" s="66" cm="1">
        <f t="array" ref="K101">_FV(C101,"Price")</f>
        <v>175.6</v>
      </c>
      <c r="L101" s="66">
        <f t="shared" si="19"/>
        <v>821.23999999999887</v>
      </c>
      <c r="M101" s="68">
        <f t="shared" si="18"/>
        <v>6.6235655823646794E-2</v>
      </c>
      <c r="N101" s="174">
        <v>132.19999999999999</v>
      </c>
      <c r="O101" s="260">
        <v>44273</v>
      </c>
      <c r="P101" s="225">
        <v>44295</v>
      </c>
      <c r="Q101" s="239">
        <f>Table2[[#This Row],[Close Date]]-Table2[[#This Row],[Open Date]]</f>
        <v>22</v>
      </c>
      <c r="R101" s="259"/>
    </row>
    <row r="102" spans="2:22" x14ac:dyDescent="0.25">
      <c r="B102" s="222">
        <v>73</v>
      </c>
      <c r="C102" s="65" t="e" vm="2">
        <v>#VALUE!</v>
      </c>
      <c r="D102" s="65" t="s">
        <v>10</v>
      </c>
      <c r="E102" s="115" t="s">
        <v>13</v>
      </c>
      <c r="F102" s="66">
        <v>75.400000000000006</v>
      </c>
      <c r="G102" s="189">
        <v>100</v>
      </c>
      <c r="H102" s="66">
        <f>6.88*2+1</f>
        <v>14.76</v>
      </c>
      <c r="I102" s="66">
        <f t="shared" si="20"/>
        <v>75.547600000000017</v>
      </c>
      <c r="J102" s="246">
        <f t="shared" si="21"/>
        <v>7554.760000000002</v>
      </c>
      <c r="K102" s="66" cm="1">
        <f t="array" ref="K102">_FV(C102,"Price")</f>
        <v>120.24</v>
      </c>
      <c r="L102" s="66">
        <f t="shared" si="19"/>
        <v>395.2399999999983</v>
      </c>
      <c r="M102" s="68">
        <f t="shared" si="18"/>
        <v>5.231668510978485E-2</v>
      </c>
      <c r="N102" s="174">
        <v>79.5</v>
      </c>
      <c r="O102" s="260">
        <v>44285</v>
      </c>
      <c r="P102" s="225">
        <v>44299</v>
      </c>
      <c r="Q102" s="239">
        <f>Table2[[#This Row],[Close Date]]-Table2[[#This Row],[Open Date]]</f>
        <v>14</v>
      </c>
      <c r="R102" s="430"/>
    </row>
    <row r="103" spans="2:22" x14ac:dyDescent="0.25">
      <c r="B103" s="222">
        <v>74</v>
      </c>
      <c r="C103" s="65" t="e" vm="39">
        <v>#VALUE!</v>
      </c>
      <c r="D103" s="65" t="s">
        <v>10</v>
      </c>
      <c r="E103" s="115" t="s">
        <v>13</v>
      </c>
      <c r="F103" s="66">
        <v>122</v>
      </c>
      <c r="G103" s="189">
        <v>50</v>
      </c>
      <c r="H103" s="66">
        <f>8.88*2+1</f>
        <v>18.760000000000002</v>
      </c>
      <c r="I103" s="66">
        <f t="shared" si="20"/>
        <v>122.37520000000001</v>
      </c>
      <c r="J103" s="246">
        <f t="shared" si="21"/>
        <v>6118.76</v>
      </c>
      <c r="K103" s="66" cm="1">
        <f t="array" ref="K103">_FV(C103,"Price")</f>
        <v>175.6</v>
      </c>
      <c r="L103" s="66">
        <f t="shared" si="19"/>
        <v>581.23999999999967</v>
      </c>
      <c r="M103" s="68">
        <f t="shared" ref="M103:M130" si="22">L103/J103</f>
        <v>9.499310317776799E-2</v>
      </c>
      <c r="N103" s="174">
        <v>134</v>
      </c>
      <c r="O103" s="260">
        <v>44273</v>
      </c>
      <c r="P103" s="225">
        <v>44299</v>
      </c>
      <c r="Q103" s="239">
        <f>Table2[[#This Row],[Close Date]]-Table2[[#This Row],[Open Date]]</f>
        <v>26</v>
      </c>
      <c r="R103" s="259"/>
    </row>
    <row r="104" spans="2:22" x14ac:dyDescent="0.25">
      <c r="B104" s="220">
        <v>75</v>
      </c>
      <c r="C104" s="121" t="e" vm="29">
        <v>#VALUE!</v>
      </c>
      <c r="D104" s="121" t="s">
        <v>10</v>
      </c>
      <c r="E104" s="120" t="s">
        <v>13</v>
      </c>
      <c r="F104" s="122">
        <v>35.5</v>
      </c>
      <c r="G104" s="187">
        <v>100</v>
      </c>
      <c r="H104" s="122">
        <f>2.88*2+1</f>
        <v>6.76</v>
      </c>
      <c r="I104" s="122">
        <f t="shared" si="20"/>
        <v>35.567599999999999</v>
      </c>
      <c r="J104" s="244">
        <f t="shared" si="21"/>
        <v>3556.7599999999998</v>
      </c>
      <c r="K104" s="122" cm="1">
        <f t="array" ref="K104">_FV(C104,"Price")</f>
        <v>21.21</v>
      </c>
      <c r="L104" s="122">
        <f t="shared" si="19"/>
        <v>57.24000000000018</v>
      </c>
      <c r="M104" s="126">
        <f t="shared" si="22"/>
        <v>1.6093298395168688E-2</v>
      </c>
      <c r="N104" s="123">
        <v>36.14</v>
      </c>
      <c r="O104" s="223">
        <v>44300</v>
      </c>
      <c r="P104" s="223">
        <v>44305</v>
      </c>
      <c r="Q104" s="237">
        <f>Table2[[#This Row],[Close Date]]-Table2[[#This Row],[Open Date]]</f>
        <v>5</v>
      </c>
      <c r="R104" s="178"/>
      <c r="T104" s="54"/>
      <c r="U104" s="134"/>
      <c r="V104" s="135"/>
    </row>
    <row r="105" spans="2:22" x14ac:dyDescent="0.25">
      <c r="B105" s="221">
        <v>76</v>
      </c>
      <c r="C105" s="69" t="e" vm="42">
        <v>#VALUE!</v>
      </c>
      <c r="D105" s="69" t="s">
        <v>10</v>
      </c>
      <c r="E105" s="116" t="s">
        <v>13</v>
      </c>
      <c r="F105" s="173">
        <v>117.265</v>
      </c>
      <c r="G105" s="188">
        <v>200</v>
      </c>
      <c r="H105" s="173">
        <v>9.64</v>
      </c>
      <c r="I105" s="173">
        <f t="shared" si="20"/>
        <v>117.31319999999999</v>
      </c>
      <c r="J105" s="245">
        <f t="shared" si="21"/>
        <v>23462.639999999999</v>
      </c>
      <c r="K105" s="173" cm="1">
        <f t="array" ref="K105">_FV(C105,"Price")</f>
        <v>106.33</v>
      </c>
      <c r="L105" s="70">
        <f t="shared" si="19"/>
        <v>-456.63999999999874</v>
      </c>
      <c r="M105" s="117">
        <f t="shared" si="22"/>
        <v>-1.9462430485230935E-2</v>
      </c>
      <c r="N105" s="173">
        <v>115.03</v>
      </c>
      <c r="O105" s="224">
        <v>44300</v>
      </c>
      <c r="P105" s="224">
        <v>44306</v>
      </c>
      <c r="Q105" s="238">
        <f>Table2[[#This Row],[Close Date]]-Table2[[#This Row],[Open Date]]</f>
        <v>6</v>
      </c>
      <c r="R105" s="430"/>
    </row>
    <row r="106" spans="2:22" x14ac:dyDescent="0.25">
      <c r="B106" s="220">
        <v>77</v>
      </c>
      <c r="C106" s="121" t="e" vm="39">
        <v>#VALUE!</v>
      </c>
      <c r="D106" s="121" t="s">
        <v>10</v>
      </c>
      <c r="E106" s="120" t="s">
        <v>13</v>
      </c>
      <c r="F106" s="122">
        <v>132.5</v>
      </c>
      <c r="G106" s="187">
        <v>50</v>
      </c>
      <c r="H106" s="122">
        <f>2.88*2+1</f>
        <v>6.76</v>
      </c>
      <c r="I106" s="122">
        <f t="shared" si="20"/>
        <v>132.6352</v>
      </c>
      <c r="J106" s="244">
        <f t="shared" si="21"/>
        <v>6631.76</v>
      </c>
      <c r="K106" s="122" cm="1">
        <f t="array" ref="K106">_FV(C106,"Price")</f>
        <v>175.6</v>
      </c>
      <c r="L106" s="122">
        <f t="shared" si="19"/>
        <v>28.239999999999554</v>
      </c>
      <c r="M106" s="126">
        <f t="shared" si="22"/>
        <v>4.2582964401606136E-3</v>
      </c>
      <c r="N106" s="123">
        <v>133.19999999999999</v>
      </c>
      <c r="O106" s="223">
        <v>44306</v>
      </c>
      <c r="P106" s="223">
        <v>44307</v>
      </c>
      <c r="Q106" s="237">
        <f>Table2[[#This Row],[Close Date]]-Table2[[#This Row],[Open Date]]</f>
        <v>1</v>
      </c>
      <c r="R106" s="178"/>
      <c r="T106" s="54"/>
      <c r="U106" s="134"/>
      <c r="V106" s="135"/>
    </row>
    <row r="107" spans="2:22" x14ac:dyDescent="0.25">
      <c r="B107" s="222">
        <v>78</v>
      </c>
      <c r="C107" s="65" t="e" vm="29">
        <v>#VALUE!</v>
      </c>
      <c r="D107" s="65" t="s">
        <v>10</v>
      </c>
      <c r="E107" s="115" t="s">
        <v>13</v>
      </c>
      <c r="F107" s="66">
        <v>38.299999999999997</v>
      </c>
      <c r="G107" s="189">
        <v>100</v>
      </c>
      <c r="H107" s="66">
        <f>2.88*2+1</f>
        <v>6.76</v>
      </c>
      <c r="I107" s="66">
        <f t="shared" si="20"/>
        <v>38.367599999999996</v>
      </c>
      <c r="J107" s="246">
        <f t="shared" si="21"/>
        <v>3836.7599999999998</v>
      </c>
      <c r="K107" s="66" cm="1">
        <f t="array" ref="K107">_FV(C107,"Price")</f>
        <v>21.21</v>
      </c>
      <c r="L107" s="66">
        <f t="shared" si="19"/>
        <v>413.24000000000041</v>
      </c>
      <c r="M107" s="68">
        <f t="shared" si="22"/>
        <v>0.10770545981505239</v>
      </c>
      <c r="N107" s="174">
        <v>42.5</v>
      </c>
      <c r="O107" s="260">
        <v>44300</v>
      </c>
      <c r="P107" s="225">
        <v>44313</v>
      </c>
      <c r="Q107" s="239">
        <f>Table2[[#This Row],[Close Date]]-Table2[[#This Row],[Open Date]]</f>
        <v>13</v>
      </c>
      <c r="R107" s="259"/>
    </row>
    <row r="108" spans="2:22" x14ac:dyDescent="0.25">
      <c r="B108" s="222">
        <v>79</v>
      </c>
      <c r="C108" s="65" t="e" vm="39">
        <v>#VALUE!</v>
      </c>
      <c r="D108" s="65" t="s">
        <v>10</v>
      </c>
      <c r="E108" s="115" t="s">
        <v>13</v>
      </c>
      <c r="F108" s="66">
        <v>123.75</v>
      </c>
      <c r="G108" s="189">
        <v>200</v>
      </c>
      <c r="H108" s="66">
        <v>28.52</v>
      </c>
      <c r="I108" s="66">
        <f t="shared" si="20"/>
        <v>123.8926</v>
      </c>
      <c r="J108" s="246">
        <f t="shared" si="21"/>
        <v>24778.52</v>
      </c>
      <c r="K108" s="66" cm="1">
        <f t="array" ref="K108">_FV(C108,"Price")</f>
        <v>175.6</v>
      </c>
      <c r="L108" s="66">
        <f t="shared" si="19"/>
        <v>1881.4800000000018</v>
      </c>
      <c r="M108" s="68">
        <f t="shared" si="22"/>
        <v>7.5931895851729714E-2</v>
      </c>
      <c r="N108" s="174">
        <v>133.30000000000001</v>
      </c>
      <c r="O108" s="260">
        <v>44273</v>
      </c>
      <c r="P108" s="225">
        <v>44319</v>
      </c>
      <c r="Q108" s="239">
        <f>Table2[[#This Row],[Close Date]]-Table2[[#This Row],[Open Date]]</f>
        <v>46</v>
      </c>
      <c r="R108" s="259"/>
    </row>
    <row r="109" spans="2:22" x14ac:dyDescent="0.25">
      <c r="B109" s="221">
        <v>80</v>
      </c>
      <c r="C109" s="69" t="e" vm="40">
        <v>#VALUE!</v>
      </c>
      <c r="D109" s="69" t="s">
        <v>10</v>
      </c>
      <c r="E109" s="116" t="s">
        <v>13</v>
      </c>
      <c r="F109" s="173">
        <v>83.8</v>
      </c>
      <c r="G109" s="188">
        <v>50</v>
      </c>
      <c r="H109" s="173">
        <f>6.88+2.88</f>
        <v>9.76</v>
      </c>
      <c r="I109" s="173">
        <f t="shared" si="20"/>
        <v>83.995200000000011</v>
      </c>
      <c r="J109" s="245">
        <f t="shared" si="21"/>
        <v>4199.76</v>
      </c>
      <c r="K109" s="173" cm="1">
        <f t="array" ref="K109">_FV(C109,"Price")</f>
        <v>59.77</v>
      </c>
      <c r="L109" s="70">
        <f t="shared" si="19"/>
        <v>-349.76000000000056</v>
      </c>
      <c r="M109" s="117">
        <f t="shared" si="22"/>
        <v>-8.328094938758418E-2</v>
      </c>
      <c r="N109" s="173">
        <v>77</v>
      </c>
      <c r="O109" s="224">
        <v>44287</v>
      </c>
      <c r="P109" s="224">
        <v>44322</v>
      </c>
      <c r="Q109" s="238">
        <f>Table2[[#This Row],[Close Date]]-Table2[[#This Row],[Open Date]]</f>
        <v>35</v>
      </c>
      <c r="R109" s="430"/>
    </row>
    <row r="110" spans="2:22" x14ac:dyDescent="0.25">
      <c r="B110" s="221">
        <v>81</v>
      </c>
      <c r="C110" s="69" t="e" vm="43">
        <v>#VALUE!</v>
      </c>
      <c r="D110" s="69" t="s">
        <v>7</v>
      </c>
      <c r="E110" s="116" t="s">
        <v>12</v>
      </c>
      <c r="F110" s="173">
        <v>1.3320000000000001</v>
      </c>
      <c r="G110" s="188">
        <v>10000</v>
      </c>
      <c r="H110" s="173">
        <v>249.22408000000001</v>
      </c>
      <c r="I110" s="173">
        <f t="shared" si="20"/>
        <v>1.356922408</v>
      </c>
      <c r="J110" s="245">
        <f>I110*G110/7.8</f>
        <v>1739.6441128205129</v>
      </c>
      <c r="K110" s="173" cm="1">
        <f t="array" ref="K110">_FV(C110,"Price")</f>
        <v>0.87</v>
      </c>
      <c r="L110" s="70">
        <f>(N110-I110)*G110/7.8</f>
        <v>-342.20821538461524</v>
      </c>
      <c r="M110" s="117">
        <f t="shared" si="22"/>
        <v>-0.1967116221430989</v>
      </c>
      <c r="N110" s="173">
        <v>1.0900000000000001</v>
      </c>
      <c r="O110" s="224">
        <v>44028</v>
      </c>
      <c r="P110" s="224">
        <v>44330</v>
      </c>
      <c r="Q110" s="238">
        <f>Table2[[#This Row],[Close Date]]-Table2[[#This Row],[Open Date]]</f>
        <v>302</v>
      </c>
      <c r="R110" s="430"/>
    </row>
    <row r="111" spans="2:22" x14ac:dyDescent="0.25">
      <c r="B111" s="220">
        <v>82</v>
      </c>
      <c r="C111" s="121" t="e" vm="16">
        <v>#VALUE!</v>
      </c>
      <c r="D111" s="121" t="s">
        <v>10</v>
      </c>
      <c r="E111" s="120" t="s">
        <v>13</v>
      </c>
      <c r="F111" s="122">
        <v>28.7</v>
      </c>
      <c r="G111" s="187">
        <v>100</v>
      </c>
      <c r="H111" s="122">
        <f>2.88*2+1</f>
        <v>6.76</v>
      </c>
      <c r="I111" s="122">
        <f t="shared" si="20"/>
        <v>28.767600000000002</v>
      </c>
      <c r="J111" s="244">
        <f t="shared" ref="J111:J130" si="23">I111*G111</f>
        <v>2876.76</v>
      </c>
      <c r="K111" s="122" cm="1">
        <f t="array" ref="K111">_FV(C111,"Price")</f>
        <v>27.13</v>
      </c>
      <c r="L111" s="122">
        <f t="shared" ref="L111:L130" si="24">(N111-I111)*G111</f>
        <v>43.239999999999768</v>
      </c>
      <c r="M111" s="126">
        <f t="shared" si="22"/>
        <v>1.5030798537243206E-2</v>
      </c>
      <c r="N111" s="123">
        <v>29.2</v>
      </c>
      <c r="O111" s="223">
        <v>44323</v>
      </c>
      <c r="P111" s="223">
        <v>44337</v>
      </c>
      <c r="Q111" s="237">
        <f>Table2[[#This Row],[Close Date]]-Table2[[#This Row],[Open Date]]</f>
        <v>14</v>
      </c>
      <c r="R111" s="178"/>
      <c r="T111" s="54"/>
      <c r="U111" s="134"/>
      <c r="V111" s="135"/>
    </row>
    <row r="112" spans="2:22" x14ac:dyDescent="0.25">
      <c r="B112" s="222">
        <v>83</v>
      </c>
      <c r="C112" s="65" t="e" vm="16">
        <v>#VALUE!</v>
      </c>
      <c r="D112" s="65" t="s">
        <v>10</v>
      </c>
      <c r="E112" s="115" t="s">
        <v>13</v>
      </c>
      <c r="F112" s="66">
        <v>32.5</v>
      </c>
      <c r="G112" s="189">
        <v>100</v>
      </c>
      <c r="H112" s="66">
        <f>2.88*2+1</f>
        <v>6.76</v>
      </c>
      <c r="I112" s="66">
        <f t="shared" si="20"/>
        <v>32.567599999999999</v>
      </c>
      <c r="J112" s="246">
        <f t="shared" si="23"/>
        <v>3256.7599999999998</v>
      </c>
      <c r="K112" s="66" cm="1">
        <f t="array" ref="K112">_FV(C112,"Price")</f>
        <v>27.13</v>
      </c>
      <c r="L112" s="66">
        <f t="shared" si="24"/>
        <v>193.24000000000012</v>
      </c>
      <c r="M112" s="72">
        <f t="shared" si="22"/>
        <v>5.9335044645598738E-2</v>
      </c>
      <c r="N112" s="174">
        <v>34.5</v>
      </c>
      <c r="O112" s="260">
        <v>44313</v>
      </c>
      <c r="P112" s="225">
        <v>44348</v>
      </c>
      <c r="Q112" s="239">
        <f>Table2[[#This Row],[Close Date]]-Table2[[#This Row],[Open Date]]</f>
        <v>35</v>
      </c>
      <c r="R112" s="259"/>
    </row>
    <row r="113" spans="2:22" x14ac:dyDescent="0.25">
      <c r="B113" s="220">
        <v>84</v>
      </c>
      <c r="C113" s="121" t="e" vm="29">
        <v>#VALUE!</v>
      </c>
      <c r="D113" s="121" t="s">
        <v>21</v>
      </c>
      <c r="E113" s="120" t="s">
        <v>13</v>
      </c>
      <c r="F113" s="122">
        <v>41.8</v>
      </c>
      <c r="G113" s="187">
        <v>100</v>
      </c>
      <c r="H113" s="122">
        <f>2.88*2+1</f>
        <v>6.76</v>
      </c>
      <c r="I113" s="122">
        <f t="shared" si="20"/>
        <v>41.867600000000003</v>
      </c>
      <c r="J113" s="244">
        <f t="shared" si="23"/>
        <v>4186.76</v>
      </c>
      <c r="K113" s="122" cm="1">
        <f t="array" ref="K113">_FV(C113,"Price")</f>
        <v>21.21</v>
      </c>
      <c r="L113" s="122">
        <f t="shared" si="24"/>
        <v>33.239999999999981</v>
      </c>
      <c r="M113" s="126">
        <f t="shared" si="22"/>
        <v>7.9393134547955883E-3</v>
      </c>
      <c r="N113" s="123">
        <v>42.2</v>
      </c>
      <c r="O113" s="223">
        <v>44349</v>
      </c>
      <c r="P113" s="223">
        <v>44350</v>
      </c>
      <c r="Q113" s="237">
        <f>Table2[[#This Row],[Close Date]]-Table2[[#This Row],[Open Date]]</f>
        <v>1</v>
      </c>
      <c r="R113" s="178"/>
      <c r="T113" s="54"/>
      <c r="U113" s="134"/>
      <c r="V113" s="135"/>
    </row>
    <row r="114" spans="2:22" x14ac:dyDescent="0.25">
      <c r="B114" s="222">
        <v>85</v>
      </c>
      <c r="C114" s="65" t="e" vm="16">
        <v>#VALUE!</v>
      </c>
      <c r="D114" s="65" t="s">
        <v>10</v>
      </c>
      <c r="E114" s="115" t="s">
        <v>13</v>
      </c>
      <c r="F114" s="66">
        <v>32.1</v>
      </c>
      <c r="G114" s="189">
        <v>200</v>
      </c>
      <c r="H114" s="66">
        <v>9.64</v>
      </c>
      <c r="I114" s="66">
        <f t="shared" si="20"/>
        <v>32.148200000000003</v>
      </c>
      <c r="J114" s="246">
        <f t="shared" si="23"/>
        <v>6429.64</v>
      </c>
      <c r="K114" s="66" cm="1">
        <f t="array" ref="K114">_FV(C114,"Price")</f>
        <v>27.13</v>
      </c>
      <c r="L114" s="66">
        <f t="shared" si="24"/>
        <v>1170.3599999999994</v>
      </c>
      <c r="M114" s="72">
        <f t="shared" si="22"/>
        <v>0.18202574327645085</v>
      </c>
      <c r="N114" s="174">
        <v>38</v>
      </c>
      <c r="O114" s="260">
        <v>44313</v>
      </c>
      <c r="P114" s="225">
        <v>44354</v>
      </c>
      <c r="Q114" s="239">
        <f>Table2[[#This Row],[Close Date]]-Table2[[#This Row],[Open Date]]</f>
        <v>41</v>
      </c>
      <c r="R114" s="259"/>
    </row>
    <row r="115" spans="2:22" x14ac:dyDescent="0.25">
      <c r="B115" s="220">
        <v>86</v>
      </c>
      <c r="C115" s="121" t="e" vm="44">
        <v>#VALUE!</v>
      </c>
      <c r="D115" s="121" t="s">
        <v>10</v>
      </c>
      <c r="E115" s="120" t="s">
        <v>13</v>
      </c>
      <c r="F115" s="122">
        <v>3355</v>
      </c>
      <c r="G115" s="187">
        <v>6</v>
      </c>
      <c r="H115" s="122">
        <f>2.88*2+1</f>
        <v>6.76</v>
      </c>
      <c r="I115" s="122">
        <f t="shared" si="20"/>
        <v>3356.1266666666666</v>
      </c>
      <c r="J115" s="244">
        <f t="shared" si="23"/>
        <v>20136.759999999998</v>
      </c>
      <c r="K115" s="122" cm="1">
        <f t="array" ref="K115">_FV(C115,"Price")</f>
        <v>3379.81</v>
      </c>
      <c r="L115" s="122">
        <f t="shared" si="24"/>
        <v>6.4399999999995998</v>
      </c>
      <c r="M115" s="126">
        <f t="shared" si="22"/>
        <v>3.1981311789978131E-4</v>
      </c>
      <c r="N115" s="123">
        <v>3357.2</v>
      </c>
      <c r="O115" s="223">
        <v>44358</v>
      </c>
      <c r="P115" s="223">
        <v>44361</v>
      </c>
      <c r="Q115" s="237">
        <f>Table2[[#This Row],[Close Date]]-Table2[[#This Row],[Open Date]]</f>
        <v>3</v>
      </c>
      <c r="R115" s="178"/>
      <c r="T115" s="54"/>
      <c r="U115" s="134"/>
      <c r="V115" s="135"/>
    </row>
    <row r="116" spans="2:22" x14ac:dyDescent="0.25">
      <c r="B116" s="220">
        <v>87</v>
      </c>
      <c r="C116" s="121" t="e" vm="2">
        <v>#VALUE!</v>
      </c>
      <c r="D116" s="121" t="s">
        <v>10</v>
      </c>
      <c r="E116" s="120" t="s">
        <v>13</v>
      </c>
      <c r="F116" s="122">
        <v>82.8</v>
      </c>
      <c r="G116" s="187">
        <v>200</v>
      </c>
      <c r="H116" s="122">
        <v>15.399999999999999</v>
      </c>
      <c r="I116" s="122">
        <v>82.83850000000001</v>
      </c>
      <c r="J116" s="244">
        <f t="shared" si="23"/>
        <v>16567.7</v>
      </c>
      <c r="K116" s="122" cm="1">
        <f t="array" ref="K116">_FV(C116,"Price")</f>
        <v>120.24</v>
      </c>
      <c r="L116" s="122">
        <f t="shared" si="24"/>
        <v>372.29999999999848</v>
      </c>
      <c r="M116" s="126">
        <f t="shared" si="22"/>
        <v>2.2471435383305979E-2</v>
      </c>
      <c r="N116" s="123">
        <f>(84.4+85)/2</f>
        <v>84.7</v>
      </c>
      <c r="O116" s="223">
        <v>44314</v>
      </c>
      <c r="P116" s="223">
        <v>44361</v>
      </c>
      <c r="Q116" s="237">
        <f>Table2[[#This Row],[Close Date]]-Table2[[#This Row],[Open Date]]</f>
        <v>47</v>
      </c>
      <c r="R116" s="178"/>
      <c r="T116" s="54"/>
      <c r="U116" s="134"/>
      <c r="V116" s="135"/>
    </row>
    <row r="117" spans="2:22" x14ac:dyDescent="0.25">
      <c r="B117" s="222">
        <v>88</v>
      </c>
      <c r="C117" s="65" t="e" vm="2">
        <v>#VALUE!</v>
      </c>
      <c r="D117" s="65" t="s">
        <v>10</v>
      </c>
      <c r="E117" s="115" t="s">
        <v>13</v>
      </c>
      <c r="F117" s="66">
        <v>82.8</v>
      </c>
      <c r="G117" s="189">
        <v>50</v>
      </c>
      <c r="H117" s="66">
        <f>2.88*2+1</f>
        <v>6.76</v>
      </c>
      <c r="I117" s="66">
        <f t="shared" ref="I117:I130" si="25">((F117*G117)+H117)/G117</f>
        <v>82.935200000000009</v>
      </c>
      <c r="J117" s="246">
        <f t="shared" si="23"/>
        <v>4146.76</v>
      </c>
      <c r="K117" s="66" cm="1">
        <f t="array" ref="K117">_FV(C117,"Price")</f>
        <v>120.24</v>
      </c>
      <c r="L117" s="66">
        <f t="shared" si="24"/>
        <v>313.23999999999967</v>
      </c>
      <c r="M117" s="72">
        <f t="shared" si="22"/>
        <v>7.5538492702736507E-2</v>
      </c>
      <c r="N117" s="174">
        <v>89.2</v>
      </c>
      <c r="O117" s="260">
        <v>44314</v>
      </c>
      <c r="P117" s="225">
        <v>44376</v>
      </c>
      <c r="Q117" s="239">
        <f>Table2[[#This Row],[Close Date]]-Table2[[#This Row],[Open Date]]</f>
        <v>62</v>
      </c>
      <c r="R117" s="259"/>
    </row>
    <row r="118" spans="2:22" x14ac:dyDescent="0.25">
      <c r="B118" s="222">
        <v>89</v>
      </c>
      <c r="C118" s="65" t="e" vm="2">
        <v>#VALUE!</v>
      </c>
      <c r="D118" s="65" t="s">
        <v>10</v>
      </c>
      <c r="E118" s="115" t="s">
        <v>13</v>
      </c>
      <c r="F118" s="66">
        <v>82.8</v>
      </c>
      <c r="G118" s="189">
        <v>50</v>
      </c>
      <c r="H118" s="66">
        <f>2.88*2+1</f>
        <v>6.76</v>
      </c>
      <c r="I118" s="66">
        <f t="shared" si="25"/>
        <v>82.935200000000009</v>
      </c>
      <c r="J118" s="246">
        <f t="shared" si="23"/>
        <v>4146.76</v>
      </c>
      <c r="K118" s="66" cm="1">
        <f t="array" ref="K118">_FV(C118,"Price")</f>
        <v>120.24</v>
      </c>
      <c r="L118" s="66">
        <f t="shared" si="24"/>
        <v>613.23999999999967</v>
      </c>
      <c r="M118" s="72">
        <f t="shared" si="22"/>
        <v>0.14788413122534211</v>
      </c>
      <c r="N118" s="174">
        <v>95.2</v>
      </c>
      <c r="O118" s="260">
        <v>44314</v>
      </c>
      <c r="P118" s="225">
        <v>44379</v>
      </c>
      <c r="Q118" s="239">
        <f>Table2[[#This Row],[Close Date]]-Table2[[#This Row],[Open Date]]</f>
        <v>65</v>
      </c>
      <c r="R118" s="259"/>
    </row>
    <row r="119" spans="2:22" x14ac:dyDescent="0.25">
      <c r="B119" s="222">
        <v>90</v>
      </c>
      <c r="C119" s="65" t="e" vm="2">
        <v>#VALUE!</v>
      </c>
      <c r="D119" s="65" t="s">
        <v>10</v>
      </c>
      <c r="E119" s="115" t="s">
        <v>13</v>
      </c>
      <c r="F119" s="66">
        <v>82.8</v>
      </c>
      <c r="G119" s="189">
        <v>100</v>
      </c>
      <c r="H119" s="66">
        <v>15.399999999999999</v>
      </c>
      <c r="I119" s="66">
        <f t="shared" si="25"/>
        <v>82.953999999999994</v>
      </c>
      <c r="J119" s="246">
        <f t="shared" si="23"/>
        <v>8295.4</v>
      </c>
      <c r="K119" s="66" cm="1">
        <f t="array" ref="K119">_FV(C119,"Price")</f>
        <v>120.24</v>
      </c>
      <c r="L119" s="66">
        <f t="shared" si="24"/>
        <v>531.60000000000025</v>
      </c>
      <c r="M119" s="72">
        <f t="shared" si="22"/>
        <v>6.4083709043566348E-2</v>
      </c>
      <c r="N119" s="174">
        <v>88.27</v>
      </c>
      <c r="O119" s="260">
        <v>44314</v>
      </c>
      <c r="P119" s="225">
        <v>44385</v>
      </c>
      <c r="Q119" s="239">
        <f>Table2[[#This Row],[Close Date]]-Table2[[#This Row],[Open Date]]</f>
        <v>71</v>
      </c>
      <c r="R119" s="259"/>
    </row>
    <row r="120" spans="2:22" x14ac:dyDescent="0.25">
      <c r="B120" s="220">
        <v>91</v>
      </c>
      <c r="C120" s="121" t="e" vm="6">
        <v>#VALUE!</v>
      </c>
      <c r="D120" s="121" t="s">
        <v>10</v>
      </c>
      <c r="E120" s="120" t="s">
        <v>13</v>
      </c>
      <c r="F120" s="122">
        <v>134.875</v>
      </c>
      <c r="G120" s="187">
        <v>60</v>
      </c>
      <c r="H120" s="122">
        <v>2.88</v>
      </c>
      <c r="I120" s="122">
        <f t="shared" si="25"/>
        <v>134.923</v>
      </c>
      <c r="J120" s="244">
        <f t="shared" si="23"/>
        <v>8095.38</v>
      </c>
      <c r="K120" s="122" cm="1">
        <f t="array" ref="K120">_FV(C120,"Price")</f>
        <v>158.44999999999999</v>
      </c>
      <c r="L120" s="122">
        <f t="shared" si="24"/>
        <v>124.61999999999989</v>
      </c>
      <c r="M120" s="126">
        <f t="shared" si="22"/>
        <v>1.5393965446958622E-2</v>
      </c>
      <c r="N120" s="123">
        <v>137</v>
      </c>
      <c r="O120" s="223">
        <v>44364</v>
      </c>
      <c r="P120" s="223">
        <v>44385</v>
      </c>
      <c r="Q120" s="237">
        <f>Table2[[#This Row],[Close Date]]-Table2[[#This Row],[Open Date]]</f>
        <v>21</v>
      </c>
      <c r="R120" s="178"/>
      <c r="T120" s="54"/>
      <c r="U120" s="134"/>
      <c r="V120" s="135"/>
    </row>
    <row r="121" spans="2:22" x14ac:dyDescent="0.25">
      <c r="B121" s="220">
        <v>92</v>
      </c>
      <c r="C121" s="121" t="e" vm="29">
        <v>#VALUE!</v>
      </c>
      <c r="D121" s="121" t="s">
        <v>10</v>
      </c>
      <c r="E121" s="120" t="s">
        <v>13</v>
      </c>
      <c r="F121" s="122">
        <v>46</v>
      </c>
      <c r="G121" s="187">
        <v>100</v>
      </c>
      <c r="H121" s="122">
        <f>2.88*2+1</f>
        <v>6.76</v>
      </c>
      <c r="I121" s="122">
        <f t="shared" si="25"/>
        <v>46.067599999999999</v>
      </c>
      <c r="J121" s="244">
        <f t="shared" si="23"/>
        <v>4606.76</v>
      </c>
      <c r="K121" s="122" cm="1">
        <f t="array" ref="K121">_FV(C121,"Price")</f>
        <v>21.21</v>
      </c>
      <c r="L121" s="122">
        <f t="shared" si="24"/>
        <v>43.240000000000123</v>
      </c>
      <c r="M121" s="126">
        <f t="shared" si="22"/>
        <v>9.3862063576136204E-3</v>
      </c>
      <c r="N121" s="123">
        <v>46.5</v>
      </c>
      <c r="O121" s="223">
        <v>44389</v>
      </c>
      <c r="P121" s="223">
        <v>44390</v>
      </c>
      <c r="Q121" s="237">
        <f>Table2[[#This Row],[Close Date]]-Table2[[#This Row],[Open Date]]</f>
        <v>1</v>
      </c>
      <c r="R121" s="178"/>
      <c r="T121" s="54"/>
      <c r="U121" s="134"/>
      <c r="V121" s="135"/>
    </row>
    <row r="122" spans="2:22" x14ac:dyDescent="0.25">
      <c r="B122" s="220">
        <v>93</v>
      </c>
      <c r="C122" s="121" t="e" vm="6">
        <v>#VALUE!</v>
      </c>
      <c r="D122" s="121" t="s">
        <v>10</v>
      </c>
      <c r="E122" s="120" t="s">
        <v>13</v>
      </c>
      <c r="F122" s="122">
        <v>134.875</v>
      </c>
      <c r="G122" s="187">
        <v>40</v>
      </c>
      <c r="H122" s="122">
        <v>2.88</v>
      </c>
      <c r="I122" s="122">
        <f t="shared" si="25"/>
        <v>134.947</v>
      </c>
      <c r="J122" s="244">
        <f t="shared" si="23"/>
        <v>5397.88</v>
      </c>
      <c r="K122" s="122" cm="1">
        <f t="array" ref="K122">_FV(C122,"Price")</f>
        <v>158.44999999999999</v>
      </c>
      <c r="L122" s="122">
        <f t="shared" si="24"/>
        <v>106.11999999999966</v>
      </c>
      <c r="M122" s="126">
        <f t="shared" si="22"/>
        <v>1.9659570053428319E-2</v>
      </c>
      <c r="N122" s="123">
        <v>137.6</v>
      </c>
      <c r="O122" s="223">
        <v>44364</v>
      </c>
      <c r="P122" s="223">
        <v>44396</v>
      </c>
      <c r="Q122" s="237">
        <f>Table2[[#This Row],[Close Date]]-Table2[[#This Row],[Open Date]]</f>
        <v>32</v>
      </c>
      <c r="R122" s="178"/>
      <c r="T122" s="54"/>
      <c r="U122" s="134"/>
      <c r="V122" s="135"/>
    </row>
    <row r="123" spans="2:22" x14ac:dyDescent="0.25">
      <c r="B123" s="220">
        <v>94</v>
      </c>
      <c r="C123" s="121" t="e" vm="45">
        <v>#VALUE!</v>
      </c>
      <c r="D123" s="121" t="s">
        <v>10</v>
      </c>
      <c r="E123" s="120" t="s">
        <v>13</v>
      </c>
      <c r="F123" s="122">
        <v>73.900000000000006</v>
      </c>
      <c r="G123" s="187">
        <v>50</v>
      </c>
      <c r="H123" s="122">
        <v>2.88</v>
      </c>
      <c r="I123" s="122">
        <f t="shared" si="25"/>
        <v>73.957600000000014</v>
      </c>
      <c r="J123" s="244">
        <f t="shared" si="23"/>
        <v>3697.8800000000006</v>
      </c>
      <c r="K123" s="122" cm="1">
        <f t="array" ref="K123">_FV(C123,"Price")</f>
        <v>79.86</v>
      </c>
      <c r="L123" s="122">
        <f t="shared" si="24"/>
        <v>162.11999999999946</v>
      </c>
      <c r="M123" s="126">
        <f t="shared" si="22"/>
        <v>4.384133611691008E-2</v>
      </c>
      <c r="N123" s="123">
        <v>77.2</v>
      </c>
      <c r="O123" s="223">
        <v>44393</v>
      </c>
      <c r="P123" s="223">
        <v>44398</v>
      </c>
      <c r="Q123" s="237">
        <f>Table2[[#This Row],[Close Date]]-Table2[[#This Row],[Open Date]]</f>
        <v>5</v>
      </c>
      <c r="R123" s="178"/>
      <c r="T123" s="54"/>
      <c r="U123" s="134"/>
      <c r="V123" s="135"/>
    </row>
    <row r="124" spans="2:22" x14ac:dyDescent="0.25">
      <c r="B124" s="220">
        <v>95</v>
      </c>
      <c r="C124" s="121" t="e" vm="45">
        <v>#VALUE!</v>
      </c>
      <c r="D124" s="121" t="s">
        <v>10</v>
      </c>
      <c r="E124" s="120" t="s">
        <v>13</v>
      </c>
      <c r="F124" s="122">
        <v>75.099999999999994</v>
      </c>
      <c r="G124" s="187">
        <v>150</v>
      </c>
      <c r="H124" s="122">
        <v>9.64</v>
      </c>
      <c r="I124" s="122">
        <f t="shared" si="25"/>
        <v>75.164266666666663</v>
      </c>
      <c r="J124" s="244">
        <f t="shared" si="23"/>
        <v>11274.64</v>
      </c>
      <c r="K124" s="122" cm="1">
        <f t="array" ref="K124">_FV(C124,"Price")</f>
        <v>79.86</v>
      </c>
      <c r="L124" s="122">
        <f t="shared" si="24"/>
        <v>35.360000000001435</v>
      </c>
      <c r="M124" s="126">
        <f t="shared" si="22"/>
        <v>3.1362420440920009E-3</v>
      </c>
      <c r="N124" s="123">
        <v>75.400000000000006</v>
      </c>
      <c r="O124" s="223">
        <v>44393</v>
      </c>
      <c r="P124" s="223">
        <v>44400</v>
      </c>
      <c r="Q124" s="237">
        <f>Table2[[#This Row],[Close Date]]-Table2[[#This Row],[Open Date]]</f>
        <v>7</v>
      </c>
      <c r="R124" s="178"/>
      <c r="T124" s="54"/>
      <c r="U124" s="134"/>
      <c r="V124" s="135"/>
    </row>
    <row r="125" spans="2:22" x14ac:dyDescent="0.25">
      <c r="B125" s="222">
        <v>96</v>
      </c>
      <c r="C125" s="65" t="e" vm="6">
        <v>#VALUE!</v>
      </c>
      <c r="D125" s="65" t="s">
        <v>10</v>
      </c>
      <c r="E125" s="115" t="s">
        <v>13</v>
      </c>
      <c r="F125" s="66">
        <v>134.875</v>
      </c>
      <c r="G125" s="189">
        <v>50</v>
      </c>
      <c r="H125" s="66">
        <v>2.88</v>
      </c>
      <c r="I125" s="66">
        <f t="shared" si="25"/>
        <v>134.93260000000001</v>
      </c>
      <c r="J125" s="246">
        <f t="shared" si="23"/>
        <v>6746.63</v>
      </c>
      <c r="K125" s="66" cm="1">
        <f t="array" ref="K125">_FV(C125,"Price")</f>
        <v>158.44999999999999</v>
      </c>
      <c r="L125" s="67">
        <f t="shared" si="24"/>
        <v>433.36999999999932</v>
      </c>
      <c r="M125" s="72">
        <f t="shared" si="22"/>
        <v>6.4235032897905969E-2</v>
      </c>
      <c r="N125" s="174">
        <v>143.6</v>
      </c>
      <c r="O125" s="260">
        <v>44364</v>
      </c>
      <c r="P125" s="225">
        <v>44400</v>
      </c>
      <c r="Q125" s="239">
        <f>Table2[[#This Row],[Close Date]]-Table2[[#This Row],[Open Date]]</f>
        <v>36</v>
      </c>
      <c r="R125" s="178"/>
      <c r="T125" s="54"/>
      <c r="U125" s="134"/>
      <c r="V125" s="135"/>
    </row>
    <row r="126" spans="2:22" x14ac:dyDescent="0.25">
      <c r="B126" s="221">
        <v>97</v>
      </c>
      <c r="C126" s="69" t="e" vm="20">
        <v>#VALUE!</v>
      </c>
      <c r="D126" s="69" t="s">
        <v>21</v>
      </c>
      <c r="E126" s="116" t="s">
        <v>13</v>
      </c>
      <c r="F126" s="173">
        <v>378</v>
      </c>
      <c r="G126" s="188">
        <v>10</v>
      </c>
      <c r="H126" s="173">
        <f>2.88*2+1</f>
        <v>6.76</v>
      </c>
      <c r="I126" s="173">
        <f t="shared" si="25"/>
        <v>378.67600000000004</v>
      </c>
      <c r="J126" s="245">
        <f t="shared" si="23"/>
        <v>3786.76</v>
      </c>
      <c r="K126" s="173" cm="1">
        <f t="array" ref="K126">_FV(C126,"Price")</f>
        <v>335.3</v>
      </c>
      <c r="L126" s="70">
        <f t="shared" si="24"/>
        <v>-34.760000000000559</v>
      </c>
      <c r="M126" s="117">
        <f t="shared" si="22"/>
        <v>-9.1793512131744699E-3</v>
      </c>
      <c r="N126" s="173">
        <v>375.2</v>
      </c>
      <c r="O126" s="224">
        <v>44378</v>
      </c>
      <c r="P126" s="224">
        <v>44403</v>
      </c>
      <c r="Q126" s="238">
        <f>Table2[[#This Row],[Close Date]]-Table2[[#This Row],[Open Date]]</f>
        <v>25</v>
      </c>
      <c r="R126" s="430"/>
    </row>
    <row r="127" spans="2:22" x14ac:dyDescent="0.25">
      <c r="B127" s="220">
        <v>98</v>
      </c>
      <c r="C127" s="121" t="e" vm="40">
        <v>#VALUE!</v>
      </c>
      <c r="D127" s="121" t="s">
        <v>10</v>
      </c>
      <c r="E127" s="120" t="s">
        <v>13</v>
      </c>
      <c r="F127" s="122">
        <f>(66.9+67.5)/2</f>
        <v>67.2</v>
      </c>
      <c r="G127" s="187">
        <v>200</v>
      </c>
      <c r="H127" s="122">
        <f>2.88*4+1</f>
        <v>12.52</v>
      </c>
      <c r="I127" s="122">
        <f t="shared" si="25"/>
        <v>67.262600000000006</v>
      </c>
      <c r="J127" s="244">
        <f t="shared" si="23"/>
        <v>13452.52</v>
      </c>
      <c r="K127" s="122" cm="1">
        <f t="array" ref="K127">_FV(C127,"Price")</f>
        <v>59.77</v>
      </c>
      <c r="L127" s="122">
        <f t="shared" si="24"/>
        <v>467.47999999999763</v>
      </c>
      <c r="M127" s="126">
        <f t="shared" si="22"/>
        <v>3.4750366474087947E-2</v>
      </c>
      <c r="N127" s="123">
        <f>(69.2+70)/2</f>
        <v>69.599999999999994</v>
      </c>
      <c r="O127" s="223">
        <v>44403</v>
      </c>
      <c r="P127" s="223">
        <v>44405</v>
      </c>
      <c r="Q127" s="237">
        <f>Table2[[#This Row],[Close Date]]-Table2[[#This Row],[Open Date]]</f>
        <v>2</v>
      </c>
      <c r="R127" s="178"/>
      <c r="T127" s="54"/>
      <c r="U127" s="134"/>
      <c r="V127" s="135"/>
    </row>
    <row r="128" spans="2:22" x14ac:dyDescent="0.25">
      <c r="B128" s="220">
        <v>99</v>
      </c>
      <c r="C128" s="121" t="e" vm="29">
        <v>#VALUE!</v>
      </c>
      <c r="D128" s="121" t="s">
        <v>21</v>
      </c>
      <c r="E128" s="120" t="s">
        <v>13</v>
      </c>
      <c r="F128" s="122">
        <v>40</v>
      </c>
      <c r="G128" s="187">
        <v>100</v>
      </c>
      <c r="H128" s="122">
        <f>2.88*2+1</f>
        <v>6.76</v>
      </c>
      <c r="I128" s="122">
        <f t="shared" si="25"/>
        <v>40.067599999999999</v>
      </c>
      <c r="J128" s="244">
        <f t="shared" si="23"/>
        <v>4006.7599999999998</v>
      </c>
      <c r="K128" s="122" cm="1">
        <f t="array" ref="K128">_FV(C128,"Price")</f>
        <v>21.21</v>
      </c>
      <c r="L128" s="122">
        <f t="shared" si="24"/>
        <v>13.240000000000407</v>
      </c>
      <c r="M128" s="126">
        <f t="shared" si="22"/>
        <v>3.3044155377413191E-3</v>
      </c>
      <c r="N128" s="123">
        <v>40.200000000000003</v>
      </c>
      <c r="O128" s="223">
        <v>44404</v>
      </c>
      <c r="P128" s="223">
        <v>44405</v>
      </c>
      <c r="Q128" s="237">
        <f>Table2[[#This Row],[Close Date]]-Table2[[#This Row],[Open Date]]</f>
        <v>1</v>
      </c>
      <c r="R128" s="178"/>
      <c r="T128" s="54"/>
      <c r="U128" s="134"/>
      <c r="V128" s="135"/>
    </row>
    <row r="129" spans="2:22" x14ac:dyDescent="0.25">
      <c r="B129" s="220">
        <v>100</v>
      </c>
      <c r="C129" s="121" t="e" vm="14">
        <v>#VALUE!</v>
      </c>
      <c r="D129" s="121" t="s">
        <v>21</v>
      </c>
      <c r="E129" s="120" t="s">
        <v>13</v>
      </c>
      <c r="F129" s="122">
        <v>195.8</v>
      </c>
      <c r="G129" s="187">
        <v>25</v>
      </c>
      <c r="H129" s="122">
        <f>2.88*2+1</f>
        <v>6.76</v>
      </c>
      <c r="I129" s="122">
        <f t="shared" si="25"/>
        <v>196.07040000000001</v>
      </c>
      <c r="J129" s="244">
        <f t="shared" si="23"/>
        <v>4901.76</v>
      </c>
      <c r="K129" s="122" cm="1">
        <f t="array" ref="K129">_FV(C129,"Price")</f>
        <v>115.09</v>
      </c>
      <c r="L129" s="122">
        <f t="shared" si="24"/>
        <v>23.239999999999839</v>
      </c>
      <c r="M129" s="126">
        <f t="shared" si="22"/>
        <v>4.7411541976759035E-3</v>
      </c>
      <c r="N129" s="123">
        <v>197</v>
      </c>
      <c r="O129" s="223">
        <v>44403</v>
      </c>
      <c r="P129" s="223">
        <v>44405</v>
      </c>
      <c r="Q129" s="237">
        <f>Table2[[#This Row],[Close Date]]-Table2[[#This Row],[Open Date]]</f>
        <v>2</v>
      </c>
      <c r="R129" s="178"/>
      <c r="T129" s="54"/>
      <c r="U129" s="134"/>
      <c r="V129" s="135"/>
    </row>
    <row r="130" spans="2:22" x14ac:dyDescent="0.25">
      <c r="B130" s="222">
        <v>101</v>
      </c>
      <c r="C130" s="65" t="e" vm="6">
        <v>#VALUE!</v>
      </c>
      <c r="D130" s="65" t="s">
        <v>10</v>
      </c>
      <c r="E130" s="115" t="s">
        <v>13</v>
      </c>
      <c r="F130" s="66">
        <v>134.88</v>
      </c>
      <c r="G130" s="189">
        <v>50</v>
      </c>
      <c r="H130" s="66">
        <v>6.76</v>
      </c>
      <c r="I130" s="66">
        <f t="shared" si="25"/>
        <v>135.01519999999999</v>
      </c>
      <c r="J130" s="246">
        <f t="shared" si="23"/>
        <v>6750.7599999999993</v>
      </c>
      <c r="K130" s="66" cm="1">
        <f t="array" ref="K130">_FV(C130,"Price")</f>
        <v>158.44999999999999</v>
      </c>
      <c r="L130" s="67">
        <f t="shared" si="24"/>
        <v>749.24000000000035</v>
      </c>
      <c r="M130" s="72">
        <f t="shared" si="22"/>
        <v>0.11098602231452465</v>
      </c>
      <c r="N130" s="174">
        <v>150</v>
      </c>
      <c r="O130" s="260">
        <v>44364</v>
      </c>
      <c r="P130" s="225">
        <v>44406</v>
      </c>
      <c r="Q130" s="239">
        <f>Table2[[#This Row],[Close Date]]-Table2[[#This Row],[Open Date]]</f>
        <v>42</v>
      </c>
      <c r="R130" s="178"/>
      <c r="T130" s="54"/>
      <c r="U130" s="134"/>
      <c r="V130" s="135"/>
    </row>
    <row r="131" spans="2:22" x14ac:dyDescent="0.25">
      <c r="B131" s="220">
        <v>102</v>
      </c>
      <c r="C131" s="121" t="e" vm="14">
        <v>#VALUE!</v>
      </c>
      <c r="D131" s="121" t="s">
        <v>21</v>
      </c>
      <c r="E131" s="120" t="s">
        <v>13</v>
      </c>
      <c r="F131" s="122">
        <v>195.8</v>
      </c>
      <c r="G131" s="187">
        <v>25</v>
      </c>
      <c r="H131" s="122">
        <f>2.88*2+1</f>
        <v>6.76</v>
      </c>
      <c r="I131" s="122">
        <f t="shared" ref="I131" si="26">((F131*G131)+H131)/G131</f>
        <v>196.07040000000001</v>
      </c>
      <c r="J131" s="244">
        <f t="shared" ref="J131" si="27">I131*G131</f>
        <v>4901.76</v>
      </c>
      <c r="K131" s="122" cm="1">
        <f t="array" ref="K131">_FV(C131,"Price")</f>
        <v>115.09</v>
      </c>
      <c r="L131" s="122">
        <f t="shared" ref="L131" si="28">(N131-I131)*G131</f>
        <v>123.23999999999984</v>
      </c>
      <c r="M131" s="126">
        <f t="shared" ref="M131" si="29">L131/J131</f>
        <v>2.5141989815902824E-2</v>
      </c>
      <c r="N131" s="123">
        <v>201</v>
      </c>
      <c r="O131" s="223">
        <v>44403</v>
      </c>
      <c r="P131" s="223">
        <v>44412</v>
      </c>
      <c r="Q131" s="237">
        <f>Table2[[#This Row],[Close Date]]-Table2[[#This Row],[Open Date]]</f>
        <v>9</v>
      </c>
      <c r="R131" s="178"/>
      <c r="T131" s="54"/>
      <c r="U131" s="134"/>
      <c r="V131" s="135"/>
    </row>
    <row r="132" spans="2:22" x14ac:dyDescent="0.25">
      <c r="B132" s="220">
        <v>103</v>
      </c>
      <c r="C132" s="121" t="e" vm="46">
        <v>#VALUE!</v>
      </c>
      <c r="D132" s="121" t="s">
        <v>67</v>
      </c>
      <c r="E132" s="120" t="s">
        <v>12</v>
      </c>
      <c r="F132" s="122">
        <v>442</v>
      </c>
      <c r="G132" s="187">
        <v>100</v>
      </c>
      <c r="H132" s="122">
        <f>IF(0.12%*(Table2[[#This Row],[Buy Price]]*Table2[[#This Row],[Quantity]])&lt;60,60,0.12%*(Table2[[#This Row],[Buy Price]]*Table2[[#This Row],[Quantity]]))/7.8*2</f>
        <v>15.384615384615385</v>
      </c>
      <c r="I132" s="122">
        <f>((F132*G132)+H132*7.8)/G132</f>
        <v>443.2</v>
      </c>
      <c r="J132" s="244">
        <f>I132*G132/7.8</f>
        <v>5682.0512820512822</v>
      </c>
      <c r="K132" s="122" cm="1">
        <f t="array" ref="K132">_FV(C132,"Price")</f>
        <v>377.2</v>
      </c>
      <c r="L132" s="122">
        <f>(N132-I132)*G132/7.8</f>
        <v>112.82051282051297</v>
      </c>
      <c r="M132" s="126">
        <f t="shared" ref="M132:M135" si="30">L132/J132</f>
        <v>1.9855595667870062E-2</v>
      </c>
      <c r="N132" s="123">
        <v>452</v>
      </c>
      <c r="O132" s="223">
        <v>44413</v>
      </c>
      <c r="P132" s="223">
        <v>44414</v>
      </c>
      <c r="Q132" s="237">
        <f>Table2[[#This Row],[Close Date]]-Table2[[#This Row],[Open Date]]</f>
        <v>1</v>
      </c>
      <c r="R132" s="178"/>
      <c r="T132" s="54"/>
      <c r="U132" s="134"/>
      <c r="V132" s="135"/>
    </row>
    <row r="133" spans="2:22" x14ac:dyDescent="0.25">
      <c r="B133" s="220">
        <v>104</v>
      </c>
      <c r="C133" s="121" t="e" vm="47">
        <v>#VALUE!</v>
      </c>
      <c r="D133" s="121" t="s">
        <v>10</v>
      </c>
      <c r="E133" s="120" t="s">
        <v>13</v>
      </c>
      <c r="F133" s="122">
        <v>159</v>
      </c>
      <c r="G133" s="187">
        <v>50</v>
      </c>
      <c r="H133" s="122">
        <f>2.88*2+1</f>
        <v>6.76</v>
      </c>
      <c r="I133" s="122">
        <f t="shared" ref="I133:I135" si="31">((F133*G133)+H133)/G133</f>
        <v>159.1352</v>
      </c>
      <c r="J133" s="244">
        <f t="shared" ref="J133:J135" si="32">I133*G133</f>
        <v>7956.76</v>
      </c>
      <c r="K133" s="122" cm="1">
        <f t="array" ref="K133">_FV(C133,"Price")</f>
        <v>156.5</v>
      </c>
      <c r="L133" s="122">
        <f t="shared" ref="L133:L135" si="33">(N133-I133)*G133</f>
        <v>93.240000000000123</v>
      </c>
      <c r="M133" s="126">
        <f t="shared" si="30"/>
        <v>1.1718337614808052E-2</v>
      </c>
      <c r="N133" s="123">
        <v>161</v>
      </c>
      <c r="O133" s="223">
        <v>44412</v>
      </c>
      <c r="P133" s="223">
        <v>44417</v>
      </c>
      <c r="Q133" s="237">
        <f>Table2[[#This Row],[Close Date]]-Table2[[#This Row],[Open Date]]</f>
        <v>5</v>
      </c>
      <c r="R133" s="178"/>
      <c r="T133" s="54"/>
      <c r="U133" s="134"/>
      <c r="V133" s="135"/>
    </row>
    <row r="134" spans="2:22" x14ac:dyDescent="0.25">
      <c r="B134" s="220">
        <v>105</v>
      </c>
      <c r="C134" s="121" t="e" vm="16">
        <v>#VALUE!</v>
      </c>
      <c r="D134" s="121" t="s">
        <v>10</v>
      </c>
      <c r="E134" s="120" t="s">
        <v>13</v>
      </c>
      <c r="F134" s="122">
        <v>40.799999999999997</v>
      </c>
      <c r="G134" s="187">
        <v>50</v>
      </c>
      <c r="H134" s="122">
        <f>2.88*2+1</f>
        <v>6.76</v>
      </c>
      <c r="I134" s="122">
        <f t="shared" si="31"/>
        <v>40.935199999999995</v>
      </c>
      <c r="J134" s="244">
        <f t="shared" si="32"/>
        <v>2046.7599999999998</v>
      </c>
      <c r="K134" s="122" cm="1">
        <f t="array" ref="K134">_FV(C134,"Price")</f>
        <v>27.13</v>
      </c>
      <c r="L134" s="122">
        <f t="shared" si="33"/>
        <v>63.240000000000407</v>
      </c>
      <c r="M134" s="126">
        <f t="shared" si="30"/>
        <v>3.0897613789599373E-2</v>
      </c>
      <c r="N134" s="123">
        <v>42.2</v>
      </c>
      <c r="O134" s="223">
        <v>44414</v>
      </c>
      <c r="P134" s="223">
        <v>44417</v>
      </c>
      <c r="Q134" s="237">
        <f>Table2[[#This Row],[Close Date]]-Table2[[#This Row],[Open Date]]</f>
        <v>3</v>
      </c>
      <c r="R134" s="178"/>
      <c r="T134" s="54"/>
      <c r="U134" s="134"/>
      <c r="V134" s="135"/>
    </row>
    <row r="135" spans="2:22" x14ac:dyDescent="0.25">
      <c r="B135" s="220">
        <v>106</v>
      </c>
      <c r="C135" s="121" t="e" vm="6">
        <v>#VALUE!</v>
      </c>
      <c r="D135" s="121" t="s">
        <v>10</v>
      </c>
      <c r="E135" s="120" t="s">
        <v>13</v>
      </c>
      <c r="F135" s="122">
        <v>147.6</v>
      </c>
      <c r="G135" s="187">
        <v>80</v>
      </c>
      <c r="H135" s="122">
        <v>6.76</v>
      </c>
      <c r="I135" s="122">
        <f t="shared" si="31"/>
        <v>147.68450000000001</v>
      </c>
      <c r="J135" s="244">
        <f t="shared" si="32"/>
        <v>11814.760000000002</v>
      </c>
      <c r="K135" s="122" cm="1">
        <f t="array" ref="K135">_FV(C135,"Price")</f>
        <v>158.44999999999999</v>
      </c>
      <c r="L135" s="122">
        <f t="shared" si="33"/>
        <v>41.239999999997963</v>
      </c>
      <c r="M135" s="126">
        <f t="shared" si="30"/>
        <v>3.4905491097574522E-3</v>
      </c>
      <c r="N135" s="123">
        <v>148.19999999999999</v>
      </c>
      <c r="O135" s="223">
        <v>44414</v>
      </c>
      <c r="P135" s="223">
        <v>44421</v>
      </c>
      <c r="Q135" s="237">
        <f>Table2[[#This Row],[Close Date]]-Table2[[#This Row],[Open Date]]</f>
        <v>7</v>
      </c>
      <c r="R135" s="178"/>
      <c r="T135" s="54"/>
      <c r="U135" s="134"/>
      <c r="V135" s="135"/>
    </row>
    <row r="136" spans="2:22" x14ac:dyDescent="0.25">
      <c r="B136" s="220">
        <v>107</v>
      </c>
      <c r="C136" s="121" t="e" vm="6">
        <v>#VALUE!</v>
      </c>
      <c r="D136" s="121" t="s">
        <v>10</v>
      </c>
      <c r="E136" s="120" t="s">
        <v>13</v>
      </c>
      <c r="F136" s="122">
        <v>147.6</v>
      </c>
      <c r="G136" s="187">
        <v>20</v>
      </c>
      <c r="H136" s="122">
        <f>2.88+1</f>
        <v>3.88</v>
      </c>
      <c r="I136" s="122">
        <f t="shared" ref="I136:I137" si="34">((F136*G136)+H136)/G136</f>
        <v>147.79400000000001</v>
      </c>
      <c r="J136" s="244">
        <f t="shared" ref="J136:J137" si="35">I136*G136</f>
        <v>2955.88</v>
      </c>
      <c r="K136" s="122" cm="1">
        <f t="array" ref="K136">_FV(C136,"Price")</f>
        <v>158.44999999999999</v>
      </c>
      <c r="L136" s="122">
        <f t="shared" ref="L136:L137" si="36">(N136-I136)*G136</f>
        <v>24.119999999999777</v>
      </c>
      <c r="M136" s="126">
        <f t="shared" ref="M136:M137" si="37">L136/J136</f>
        <v>8.1600064955274828E-3</v>
      </c>
      <c r="N136" s="123">
        <v>149</v>
      </c>
      <c r="O136" s="223">
        <v>44414</v>
      </c>
      <c r="P136" s="223">
        <v>44421</v>
      </c>
      <c r="Q136" s="237">
        <f>Table2[[#This Row],[Close Date]]-Table2[[#This Row],[Open Date]]</f>
        <v>7</v>
      </c>
      <c r="R136" s="178"/>
      <c r="T136" s="54"/>
      <c r="U136" s="134"/>
      <c r="V136" s="135"/>
    </row>
    <row r="137" spans="2:22" x14ac:dyDescent="0.25">
      <c r="B137" s="221">
        <v>108</v>
      </c>
      <c r="C137" s="69" t="e" vm="29">
        <v>#VALUE!</v>
      </c>
      <c r="D137" s="69" t="s">
        <v>21</v>
      </c>
      <c r="E137" s="116" t="s">
        <v>13</v>
      </c>
      <c r="F137" s="173">
        <v>41.8</v>
      </c>
      <c r="G137" s="188">
        <v>50</v>
      </c>
      <c r="H137" s="173">
        <f>2.88*2+1</f>
        <v>6.76</v>
      </c>
      <c r="I137" s="173">
        <f t="shared" si="34"/>
        <v>41.935200000000002</v>
      </c>
      <c r="J137" s="245">
        <f t="shared" si="35"/>
        <v>2096.7600000000002</v>
      </c>
      <c r="K137" s="173" cm="1">
        <f t="array" ref="K137">_FV(C137,"Price")</f>
        <v>21.21</v>
      </c>
      <c r="L137" s="70">
        <f t="shared" si="36"/>
        <v>-146.7600000000001</v>
      </c>
      <c r="M137" s="117">
        <f t="shared" si="37"/>
        <v>-6.9993704572769461E-2</v>
      </c>
      <c r="N137" s="173">
        <v>39</v>
      </c>
      <c r="O137" s="224">
        <v>44413</v>
      </c>
      <c r="P137" s="224">
        <v>44424</v>
      </c>
      <c r="Q137" s="238">
        <f>Table2[[#This Row],[Close Date]]-Table2[[#This Row],[Open Date]]</f>
        <v>11</v>
      </c>
      <c r="R137" s="430"/>
    </row>
    <row r="138" spans="2:22" x14ac:dyDescent="0.25">
      <c r="B138" s="220">
        <v>109</v>
      </c>
      <c r="C138" s="121" t="e" vm="29">
        <v>#VALUE!</v>
      </c>
      <c r="D138" s="121" t="s">
        <v>21</v>
      </c>
      <c r="E138" s="120" t="s">
        <v>13</v>
      </c>
      <c r="F138" s="122">
        <v>36.5</v>
      </c>
      <c r="G138" s="187">
        <v>150</v>
      </c>
      <c r="H138" s="122">
        <f>2.88*2+1</f>
        <v>6.76</v>
      </c>
      <c r="I138" s="122">
        <f t="shared" ref="I138" si="38">((F138*G138)+H138)/G138</f>
        <v>36.545066666666671</v>
      </c>
      <c r="J138" s="244">
        <f t="shared" ref="J138" si="39">I138*G138</f>
        <v>5481.76</v>
      </c>
      <c r="K138" s="122" cm="1">
        <f t="array" ref="K138">_FV(C138,"Price")</f>
        <v>21.21</v>
      </c>
      <c r="L138" s="122">
        <f t="shared" ref="L138" si="40">(N138-I138)*G138</f>
        <v>113.23999999999899</v>
      </c>
      <c r="M138" s="126">
        <f t="shared" ref="M138" si="41">L138/J138</f>
        <v>2.0657599019292889E-2</v>
      </c>
      <c r="N138" s="123">
        <v>37.299999999999997</v>
      </c>
      <c r="O138" s="223">
        <v>44427</v>
      </c>
      <c r="P138" s="223">
        <v>44428</v>
      </c>
      <c r="Q138" s="237">
        <f>Table2[[#This Row],[Close Date]]-Table2[[#This Row],[Open Date]]</f>
        <v>1</v>
      </c>
      <c r="R138" s="178"/>
      <c r="T138" s="54"/>
      <c r="U138" s="134"/>
      <c r="V138" s="135"/>
    </row>
    <row r="139" spans="2:22" x14ac:dyDescent="0.25">
      <c r="B139" s="220">
        <v>109</v>
      </c>
      <c r="C139" s="121" t="e" vm="29">
        <v>#VALUE!</v>
      </c>
      <c r="D139" s="121" t="s">
        <v>21</v>
      </c>
      <c r="E139" s="120" t="s">
        <v>13</v>
      </c>
      <c r="F139" s="122">
        <v>36.5</v>
      </c>
      <c r="G139" s="187">
        <v>50</v>
      </c>
      <c r="H139" s="122">
        <f>2.88*2+1</f>
        <v>6.76</v>
      </c>
      <c r="I139" s="122">
        <f t="shared" ref="I139:I140" si="42">((F139*G139)+H139)/G139</f>
        <v>36.635199999999998</v>
      </c>
      <c r="J139" s="244">
        <f t="shared" ref="J139:J140" si="43">I139*G139</f>
        <v>1831.7599999999998</v>
      </c>
      <c r="K139" s="122" cm="1">
        <f t="array" ref="K139">_FV(C139,"Price")</f>
        <v>21.21</v>
      </c>
      <c r="L139" s="122">
        <f t="shared" ref="L139:L140" si="44">(N139-I139)*G139</f>
        <v>28.240000000000265</v>
      </c>
      <c r="M139" s="126">
        <f t="shared" ref="M139:M140" si="45">L139/J139</f>
        <v>1.5416866838450598E-2</v>
      </c>
      <c r="N139" s="123">
        <v>37.200000000000003</v>
      </c>
      <c r="O139" s="223">
        <v>44427</v>
      </c>
      <c r="P139" s="223">
        <v>44428</v>
      </c>
      <c r="Q139" s="237">
        <f>Table2[[#This Row],[Close Date]]-Table2[[#This Row],[Open Date]]</f>
        <v>1</v>
      </c>
      <c r="R139" s="178"/>
      <c r="T139" s="54"/>
      <c r="U139" s="134"/>
      <c r="V139" s="135"/>
    </row>
    <row r="140" spans="2:22" x14ac:dyDescent="0.25">
      <c r="B140" s="221">
        <v>110</v>
      </c>
      <c r="C140" s="69" t="e" vm="40">
        <v>#VALUE!</v>
      </c>
      <c r="D140" s="69" t="s">
        <v>10</v>
      </c>
      <c r="E140" s="116" t="s">
        <v>13</v>
      </c>
      <c r="F140" s="173">
        <v>79.3</v>
      </c>
      <c r="G140" s="188">
        <v>150</v>
      </c>
      <c r="H140" s="173">
        <f>2.88*2+1</f>
        <v>6.76</v>
      </c>
      <c r="I140" s="173">
        <f t="shared" si="42"/>
        <v>79.345066666666668</v>
      </c>
      <c r="J140" s="245">
        <f t="shared" si="43"/>
        <v>11901.76</v>
      </c>
      <c r="K140" s="173" cm="1">
        <f t="array" ref="K140">_FV(C140,"Price")</f>
        <v>59.77</v>
      </c>
      <c r="L140" s="533">
        <f t="shared" si="44"/>
        <v>-2406.7600000000007</v>
      </c>
      <c r="M140" s="117">
        <f t="shared" si="45"/>
        <v>-0.20221883150055123</v>
      </c>
      <c r="N140" s="173">
        <v>63.3</v>
      </c>
      <c r="O140" s="224">
        <v>44301</v>
      </c>
      <c r="P140" s="224">
        <v>44428</v>
      </c>
      <c r="Q140" s="238">
        <f>Table2[[#This Row],[Close Date]]-Table2[[#This Row],[Open Date]]</f>
        <v>127</v>
      </c>
      <c r="R140" s="430"/>
    </row>
    <row r="141" spans="2:22" x14ac:dyDescent="0.25">
      <c r="B141" s="221">
        <v>111</v>
      </c>
      <c r="C141" s="69" t="e" vm="14">
        <v>#VALUE!</v>
      </c>
      <c r="D141" s="69" t="s">
        <v>10</v>
      </c>
      <c r="E141" s="116" t="s">
        <v>13</v>
      </c>
      <c r="F141" s="173">
        <v>162.47500000000002</v>
      </c>
      <c r="G141" s="188">
        <v>200</v>
      </c>
      <c r="H141" s="173">
        <v>12.52</v>
      </c>
      <c r="I141" s="173">
        <f t="shared" ref="I141:I143" si="46">((F141*G141)+H141)/G141</f>
        <v>162.53760000000003</v>
      </c>
      <c r="J141" s="245">
        <f t="shared" ref="J141:J143" si="47">I141*G141</f>
        <v>32507.520000000004</v>
      </c>
      <c r="K141" s="173" cm="1">
        <f t="array" ref="K141">_FV(C141,"Price")</f>
        <v>115.09</v>
      </c>
      <c r="L141" s="533">
        <f t="shared" ref="L141:L143" si="48">(N141-I141)*G141</f>
        <v>-1507.5200000000052</v>
      </c>
      <c r="M141" s="117">
        <f t="shared" ref="M141:M143" si="49">L141/J141</f>
        <v>-4.6374500423286828E-2</v>
      </c>
      <c r="N141" s="173">
        <v>155</v>
      </c>
      <c r="O141" s="224">
        <v>44427</v>
      </c>
      <c r="P141" s="224">
        <v>44431</v>
      </c>
      <c r="Q141" s="238">
        <f>Table2[[#This Row],[Close Date]]-Table2[[#This Row],[Open Date]]</f>
        <v>4</v>
      </c>
      <c r="R141" s="430"/>
    </row>
    <row r="142" spans="2:22" x14ac:dyDescent="0.25">
      <c r="B142" s="221">
        <v>112</v>
      </c>
      <c r="C142" s="69" t="e" vm="40">
        <v>#VALUE!</v>
      </c>
      <c r="D142" s="69" t="s">
        <v>10</v>
      </c>
      <c r="E142" s="116" t="s">
        <v>13</v>
      </c>
      <c r="F142" s="173">
        <v>83.766666666666666</v>
      </c>
      <c r="G142" s="188">
        <v>150</v>
      </c>
      <c r="H142" s="173">
        <f t="shared" ref="H142:H148" si="50">2.88*2+1</f>
        <v>6.76</v>
      </c>
      <c r="I142" s="173">
        <f t="shared" si="46"/>
        <v>83.811733333333336</v>
      </c>
      <c r="J142" s="245">
        <f t="shared" si="47"/>
        <v>12571.76</v>
      </c>
      <c r="K142" s="173" cm="1">
        <f t="array" ref="K142">_FV(C142,"Price")</f>
        <v>59.77</v>
      </c>
      <c r="L142" s="533">
        <f t="shared" si="48"/>
        <v>-1141.76</v>
      </c>
      <c r="M142" s="117">
        <f t="shared" si="49"/>
        <v>-9.0819423851553005E-2</v>
      </c>
      <c r="N142" s="173">
        <v>76.2</v>
      </c>
      <c r="O142" s="224">
        <v>44301</v>
      </c>
      <c r="P142" s="224">
        <v>44435</v>
      </c>
      <c r="Q142" s="238">
        <f>Table2[[#This Row],[Close Date]]-Table2[[#This Row],[Open Date]]</f>
        <v>134</v>
      </c>
      <c r="R142" s="430"/>
    </row>
    <row r="143" spans="2:22" x14ac:dyDescent="0.25">
      <c r="B143" s="220">
        <v>113</v>
      </c>
      <c r="C143" s="121" t="e" vm="45">
        <v>#VALUE!</v>
      </c>
      <c r="D143" s="121" t="s">
        <v>10</v>
      </c>
      <c r="E143" s="120" t="s">
        <v>13</v>
      </c>
      <c r="F143" s="122">
        <v>71.8</v>
      </c>
      <c r="G143" s="187">
        <v>30</v>
      </c>
      <c r="H143" s="122">
        <f t="shared" si="50"/>
        <v>6.76</v>
      </c>
      <c r="I143" s="122">
        <f t="shared" si="46"/>
        <v>72.025333333333336</v>
      </c>
      <c r="J143" s="244">
        <f t="shared" si="47"/>
        <v>2160.7600000000002</v>
      </c>
      <c r="K143" s="122" cm="1">
        <f t="array" ref="K143">_FV(C143,"Price")</f>
        <v>79.86</v>
      </c>
      <c r="L143" s="122">
        <f t="shared" si="48"/>
        <v>59.239999999999924</v>
      </c>
      <c r="M143" s="126">
        <f t="shared" si="49"/>
        <v>2.7416279457227976E-2</v>
      </c>
      <c r="N143" s="123">
        <v>74</v>
      </c>
      <c r="O143" s="223">
        <v>44434</v>
      </c>
      <c r="P143" s="223">
        <v>44453</v>
      </c>
      <c r="Q143" s="237">
        <f>Table2[[#This Row],[Close Date]]-Table2[[#This Row],[Open Date]]</f>
        <v>19</v>
      </c>
      <c r="R143" s="178"/>
      <c r="T143" s="54"/>
      <c r="U143" s="134"/>
      <c r="V143" s="135"/>
    </row>
    <row r="144" spans="2:22" x14ac:dyDescent="0.25">
      <c r="B144" s="220">
        <v>114</v>
      </c>
      <c r="C144" s="121" t="e" vm="27">
        <v>#VALUE!</v>
      </c>
      <c r="D144" s="121" t="s">
        <v>10</v>
      </c>
      <c r="E144" s="120" t="s">
        <v>13</v>
      </c>
      <c r="F144" s="122">
        <v>78.599999999999994</v>
      </c>
      <c r="G144" s="187">
        <v>100</v>
      </c>
      <c r="H144" s="122">
        <f t="shared" si="50"/>
        <v>6.76</v>
      </c>
      <c r="I144" s="122">
        <f t="shared" ref="I144:I146" si="51">((F144*G144)+H144)/G144</f>
        <v>78.667599999999993</v>
      </c>
      <c r="J144" s="244">
        <f t="shared" ref="J144:J146" si="52">I144*G144</f>
        <v>7866.7599999999993</v>
      </c>
      <c r="K144" s="122" cm="1">
        <f t="array" ref="K144">_FV(C144,"Price")</f>
        <v>80.010000000000005</v>
      </c>
      <c r="L144" s="122">
        <f t="shared" ref="L144:L146" si="53">(N144-I144)*G144</f>
        <v>36.240000000000805</v>
      </c>
      <c r="M144" s="126">
        <f t="shared" ref="M144:M146" si="54">L144/J144</f>
        <v>4.6067250049576713E-3</v>
      </c>
      <c r="N144" s="123">
        <v>79.03</v>
      </c>
      <c r="O144" s="223">
        <v>44452</v>
      </c>
      <c r="P144" s="223">
        <v>44455</v>
      </c>
      <c r="Q144" s="237">
        <f>Table2[[#This Row],[Close Date]]-Table2[[#This Row],[Open Date]]</f>
        <v>3</v>
      </c>
      <c r="R144" s="178"/>
      <c r="T144" s="54"/>
      <c r="U144" s="134"/>
      <c r="V144" s="135"/>
    </row>
    <row r="145" spans="2:22" x14ac:dyDescent="0.25">
      <c r="B145" s="221">
        <v>115</v>
      </c>
      <c r="C145" s="69" t="e" vm="47">
        <v>#VALUE!</v>
      </c>
      <c r="D145" s="69" t="s">
        <v>10</v>
      </c>
      <c r="E145" s="116" t="s">
        <v>13</v>
      </c>
      <c r="F145" s="173">
        <v>153.5</v>
      </c>
      <c r="G145" s="188">
        <v>100</v>
      </c>
      <c r="H145" s="173">
        <f t="shared" si="50"/>
        <v>6.76</v>
      </c>
      <c r="I145" s="173">
        <f t="shared" si="51"/>
        <v>153.5676</v>
      </c>
      <c r="J145" s="245">
        <f t="shared" si="52"/>
        <v>15356.76</v>
      </c>
      <c r="K145" s="173" cm="1">
        <f t="array" ref="K145">_FV(C145,"Price")</f>
        <v>156.5</v>
      </c>
      <c r="L145" s="533">
        <f t="shared" si="53"/>
        <v>-506.75999999999988</v>
      </c>
      <c r="M145" s="117">
        <f t="shared" si="54"/>
        <v>-3.2999148257835627E-2</v>
      </c>
      <c r="N145" s="173">
        <v>148.5</v>
      </c>
      <c r="O145" s="224">
        <v>44452</v>
      </c>
      <c r="P145" s="224">
        <v>44459</v>
      </c>
      <c r="Q145" s="238">
        <f>Table2[[#This Row],[Close Date]]-Table2[[#This Row],[Open Date]]</f>
        <v>7</v>
      </c>
      <c r="R145" s="430"/>
    </row>
    <row r="146" spans="2:22" x14ac:dyDescent="0.25">
      <c r="B146" s="220">
        <v>116</v>
      </c>
      <c r="C146" s="121" t="e" vm="14">
        <v>#VALUE!</v>
      </c>
      <c r="D146" s="121" t="s">
        <v>10</v>
      </c>
      <c r="E146" s="120" t="s">
        <v>13</v>
      </c>
      <c r="F146" s="122">
        <v>150.80000000000001</v>
      </c>
      <c r="G146" s="187">
        <v>100</v>
      </c>
      <c r="H146" s="122">
        <f t="shared" si="50"/>
        <v>6.76</v>
      </c>
      <c r="I146" s="122">
        <f t="shared" si="51"/>
        <v>150.86760000000001</v>
      </c>
      <c r="J146" s="244">
        <f t="shared" si="52"/>
        <v>15086.76</v>
      </c>
      <c r="K146" s="122" cm="1">
        <f t="array" ref="K146">_FV(C146,"Price")</f>
        <v>115.09</v>
      </c>
      <c r="L146" s="122">
        <f t="shared" si="53"/>
        <v>113.23999999999899</v>
      </c>
      <c r="M146" s="126">
        <f t="shared" si="54"/>
        <v>7.5059190972746291E-3</v>
      </c>
      <c r="N146" s="123">
        <v>152</v>
      </c>
      <c r="O146" s="223">
        <v>44459</v>
      </c>
      <c r="P146" s="223">
        <v>44460</v>
      </c>
      <c r="Q146" s="237">
        <f>Table2[[#This Row],[Close Date]]-Table2[[#This Row],[Open Date]]</f>
        <v>1</v>
      </c>
      <c r="R146" s="178"/>
      <c r="T146" s="54"/>
      <c r="U146" s="134"/>
      <c r="V146" s="135"/>
    </row>
    <row r="147" spans="2:22" x14ac:dyDescent="0.25">
      <c r="B147" s="222">
        <v>117</v>
      </c>
      <c r="C147" s="65" t="e" vm="38">
        <v>#VALUE!</v>
      </c>
      <c r="D147" s="65" t="s">
        <v>10</v>
      </c>
      <c r="E147" s="115" t="s">
        <v>13</v>
      </c>
      <c r="F147" s="66">
        <v>147.5</v>
      </c>
      <c r="G147" s="189">
        <v>50</v>
      </c>
      <c r="H147" s="66">
        <f t="shared" si="50"/>
        <v>6.76</v>
      </c>
      <c r="I147" s="66">
        <f t="shared" ref="I147:I150" si="55">((F147*G147)+H147)/G147</f>
        <v>147.6352</v>
      </c>
      <c r="J147" s="246">
        <f t="shared" ref="J147:J150" si="56">I147*G147</f>
        <v>7381.76</v>
      </c>
      <c r="K147" s="66" cm="1">
        <f t="array" ref="K147">_FV(C147,"Price")</f>
        <v>147.44999999999999</v>
      </c>
      <c r="L147" s="67">
        <f t="shared" ref="L147:L150" si="57">(N147-I147)*G147</f>
        <v>443.24000000000012</v>
      </c>
      <c r="M147" s="72">
        <f t="shared" ref="M147:M150" si="58">L147/J147</f>
        <v>6.0045300849661885E-2</v>
      </c>
      <c r="N147" s="174">
        <v>156.5</v>
      </c>
      <c r="O147" s="260">
        <v>44426</v>
      </c>
      <c r="P147" s="225">
        <v>44460</v>
      </c>
      <c r="Q147" s="239">
        <f>Table2[[#This Row],[Close Date]]-Table2[[#This Row],[Open Date]]</f>
        <v>34</v>
      </c>
      <c r="R147" s="178"/>
      <c r="T147" s="54"/>
      <c r="U147" s="134"/>
      <c r="V147" s="135"/>
    </row>
    <row r="148" spans="2:22" x14ac:dyDescent="0.25">
      <c r="B148" s="220">
        <v>118</v>
      </c>
      <c r="C148" s="121" t="e" vm="27">
        <v>#VALUE!</v>
      </c>
      <c r="D148" s="121" t="s">
        <v>10</v>
      </c>
      <c r="E148" s="120" t="s">
        <v>13</v>
      </c>
      <c r="F148" s="122">
        <v>76</v>
      </c>
      <c r="G148" s="187">
        <v>100</v>
      </c>
      <c r="H148" s="122">
        <f t="shared" si="50"/>
        <v>6.76</v>
      </c>
      <c r="I148" s="122">
        <f t="shared" si="55"/>
        <v>76.067599999999999</v>
      </c>
      <c r="J148" s="244">
        <f t="shared" si="56"/>
        <v>7606.76</v>
      </c>
      <c r="K148" s="122" cm="1">
        <f t="array" ref="K148">_FV(C148,"Price")</f>
        <v>80.010000000000005</v>
      </c>
      <c r="L148" s="122">
        <f t="shared" si="57"/>
        <v>193.24000000000012</v>
      </c>
      <c r="M148" s="126">
        <f t="shared" si="58"/>
        <v>2.5403719849186792E-2</v>
      </c>
      <c r="N148" s="123">
        <v>78</v>
      </c>
      <c r="O148" s="223">
        <v>44460</v>
      </c>
      <c r="P148" s="223">
        <v>44468</v>
      </c>
      <c r="Q148" s="237">
        <f>Table2[[#This Row],[Close Date]]-Table2[[#This Row],[Open Date]]</f>
        <v>8</v>
      </c>
      <c r="R148" s="178"/>
      <c r="T148" s="54"/>
      <c r="U148" s="134"/>
      <c r="V148" s="135"/>
    </row>
    <row r="149" spans="2:22" x14ac:dyDescent="0.25">
      <c r="B149" s="220">
        <v>119</v>
      </c>
      <c r="C149" s="121" t="e" vm="29">
        <v>#VALUE!</v>
      </c>
      <c r="D149" s="121" t="s">
        <v>21</v>
      </c>
      <c r="E149" s="120" t="s">
        <v>13</v>
      </c>
      <c r="F149" s="122">
        <v>35.200000000000003</v>
      </c>
      <c r="G149" s="187">
        <v>100</v>
      </c>
      <c r="H149" s="122">
        <f>2.88*2+1</f>
        <v>6.76</v>
      </c>
      <c r="I149" s="122">
        <f t="shared" si="55"/>
        <v>35.267600000000009</v>
      </c>
      <c r="J149" s="244">
        <f t="shared" si="56"/>
        <v>3526.7600000000007</v>
      </c>
      <c r="K149" s="122" cm="1">
        <f t="array" ref="K149">_FV(C149,"Price")</f>
        <v>21.21</v>
      </c>
      <c r="L149" s="122">
        <f t="shared" si="57"/>
        <v>73.239999999999128</v>
      </c>
      <c r="M149" s="126">
        <f t="shared" si="58"/>
        <v>2.0766936224749944E-2</v>
      </c>
      <c r="N149" s="123">
        <v>36</v>
      </c>
      <c r="O149" s="223">
        <v>44462</v>
      </c>
      <c r="P149" s="223">
        <v>44468</v>
      </c>
      <c r="Q149" s="237">
        <f>Table2[[#This Row],[Close Date]]-Table2[[#This Row],[Open Date]]</f>
        <v>6</v>
      </c>
      <c r="R149" s="178"/>
      <c r="T149" s="54"/>
      <c r="U149" s="134"/>
      <c r="V149" s="135"/>
    </row>
    <row r="150" spans="2:22" x14ac:dyDescent="0.25">
      <c r="B150" s="221">
        <v>120</v>
      </c>
      <c r="C150" s="69" t="e" vm="6">
        <v>#VALUE!</v>
      </c>
      <c r="D150" s="69" t="s">
        <v>10</v>
      </c>
      <c r="E150" s="116" t="s">
        <v>13</v>
      </c>
      <c r="F150" s="173">
        <v>129.5</v>
      </c>
      <c r="G150" s="188">
        <v>20</v>
      </c>
      <c r="H150" s="173">
        <f>2.88*2+1</f>
        <v>6.76</v>
      </c>
      <c r="I150" s="173">
        <f t="shared" si="55"/>
        <v>129.83800000000002</v>
      </c>
      <c r="J150" s="245">
        <f t="shared" si="56"/>
        <v>2596.7600000000002</v>
      </c>
      <c r="K150" s="173" cm="1">
        <f t="array" ref="K150">_FV(C150,"Price")</f>
        <v>158.44999999999999</v>
      </c>
      <c r="L150" s="533">
        <f t="shared" si="57"/>
        <v>-46.760000000000446</v>
      </c>
      <c r="M150" s="117">
        <f t="shared" si="58"/>
        <v>-1.8007054945393661E-2</v>
      </c>
      <c r="N150" s="173">
        <v>127.5</v>
      </c>
      <c r="O150" s="224">
        <v>44468</v>
      </c>
      <c r="P150" s="224">
        <v>44473</v>
      </c>
      <c r="Q150" s="238">
        <f>Table2[[#This Row],[Close Date]]-Table2[[#This Row],[Open Date]]</f>
        <v>5</v>
      </c>
      <c r="R150" s="430"/>
    </row>
    <row r="151" spans="2:22" x14ac:dyDescent="0.25">
      <c r="B151" s="221">
        <v>121</v>
      </c>
      <c r="C151" s="69" t="e" vm="22">
        <v>#VALUE!</v>
      </c>
      <c r="D151" s="69" t="s">
        <v>10</v>
      </c>
      <c r="E151" s="116" t="s">
        <v>13</v>
      </c>
      <c r="F151" s="173">
        <v>48.6</v>
      </c>
      <c r="G151" s="188">
        <v>200</v>
      </c>
      <c r="H151" s="173">
        <f>2.88*2+1</f>
        <v>6.76</v>
      </c>
      <c r="I151" s="173">
        <f t="shared" ref="I151:I155" si="59">((F151*G151)+H151)/G151</f>
        <v>48.633800000000001</v>
      </c>
      <c r="J151" s="245">
        <f t="shared" ref="J151:J155" si="60">I151*G151</f>
        <v>9726.76</v>
      </c>
      <c r="K151" s="173" cm="1">
        <f t="array" ref="K151">_FV(C151,"Price")</f>
        <v>53.28</v>
      </c>
      <c r="L151" s="533">
        <f t="shared" ref="L151:L155" si="61">(N151-I151)*G151</f>
        <v>-1206.7599999999998</v>
      </c>
      <c r="M151" s="117">
        <f t="shared" ref="M151:M155" si="62">L151/J151</f>
        <v>-0.12406597880486409</v>
      </c>
      <c r="N151" s="173">
        <v>42.6</v>
      </c>
      <c r="O151" s="224">
        <v>44432</v>
      </c>
      <c r="P151" s="224">
        <v>44473</v>
      </c>
      <c r="Q151" s="238">
        <f>Table2[[#This Row],[Close Date]]-Table2[[#This Row],[Open Date]]</f>
        <v>41</v>
      </c>
      <c r="R151" s="178"/>
      <c r="T151" s="54"/>
      <c r="U151" s="134"/>
      <c r="V151" s="135"/>
    </row>
    <row r="152" spans="2:22" x14ac:dyDescent="0.25">
      <c r="B152" s="220">
        <v>122</v>
      </c>
      <c r="C152" s="121" t="e" vm="27">
        <v>#VALUE!</v>
      </c>
      <c r="D152" s="121" t="s">
        <v>21</v>
      </c>
      <c r="E152" s="120" t="s">
        <v>13</v>
      </c>
      <c r="F152" s="122">
        <v>76.8</v>
      </c>
      <c r="G152" s="187">
        <v>100</v>
      </c>
      <c r="H152" s="122">
        <f>2.88*2+1</f>
        <v>6.76</v>
      </c>
      <c r="I152" s="122">
        <f t="shared" si="59"/>
        <v>76.867599999999996</v>
      </c>
      <c r="J152" s="244">
        <f t="shared" si="60"/>
        <v>7686.7599999999993</v>
      </c>
      <c r="K152" s="122" cm="1">
        <f t="array" ref="K152">_FV(C152,"Price")</f>
        <v>80.010000000000005</v>
      </c>
      <c r="L152" s="122">
        <f t="shared" si="61"/>
        <v>33.240000000000691</v>
      </c>
      <c r="M152" s="126">
        <f t="shared" si="62"/>
        <v>4.3243186986455535E-3</v>
      </c>
      <c r="N152" s="123">
        <v>77.2</v>
      </c>
      <c r="O152" s="223">
        <v>44474</v>
      </c>
      <c r="P152" s="223">
        <v>44475</v>
      </c>
      <c r="Q152" s="237">
        <f>Table2[[#This Row],[Close Date]]-Table2[[#This Row],[Open Date]]</f>
        <v>1</v>
      </c>
      <c r="R152" s="178"/>
      <c r="T152" s="54"/>
      <c r="U152" s="134"/>
      <c r="V152" s="135"/>
    </row>
    <row r="153" spans="2:22" x14ac:dyDescent="0.25">
      <c r="B153" s="220">
        <v>123</v>
      </c>
      <c r="C153" s="121" t="e" vm="45">
        <v>#VALUE!</v>
      </c>
      <c r="D153" s="121" t="s">
        <v>10</v>
      </c>
      <c r="E153" s="120" t="s">
        <v>13</v>
      </c>
      <c r="F153" s="122">
        <v>69.400000000000006</v>
      </c>
      <c r="G153" s="187">
        <v>100</v>
      </c>
      <c r="H153" s="122">
        <f t="shared" ref="H153" si="63">2.88*2+1</f>
        <v>6.76</v>
      </c>
      <c r="I153" s="122">
        <f t="shared" si="59"/>
        <v>69.467600000000004</v>
      </c>
      <c r="J153" s="244">
        <f t="shared" si="60"/>
        <v>6946.76</v>
      </c>
      <c r="K153" s="122" cm="1">
        <f t="array" ref="K153">_FV(C153,"Price")</f>
        <v>79.86</v>
      </c>
      <c r="L153" s="122">
        <f t="shared" si="61"/>
        <v>83.23999999999927</v>
      </c>
      <c r="M153" s="126">
        <f t="shared" si="62"/>
        <v>1.1982564533681784E-2</v>
      </c>
      <c r="N153" s="123">
        <v>70.3</v>
      </c>
      <c r="O153" s="223">
        <v>44475</v>
      </c>
      <c r="P153" s="223">
        <v>44477</v>
      </c>
      <c r="Q153" s="237">
        <f>Table2[[#This Row],[Close Date]]-Table2[[#This Row],[Open Date]]</f>
        <v>2</v>
      </c>
      <c r="R153" s="178"/>
      <c r="T153" s="54"/>
      <c r="U153" s="134"/>
      <c r="V153" s="135"/>
    </row>
    <row r="154" spans="2:22" x14ac:dyDescent="0.25">
      <c r="B154" s="220">
        <v>124</v>
      </c>
      <c r="C154" s="121" t="e" vm="29">
        <v>#VALUE!</v>
      </c>
      <c r="D154" s="121" t="s">
        <v>21</v>
      </c>
      <c r="E154" s="120" t="s">
        <v>13</v>
      </c>
      <c r="F154" s="122">
        <v>35.35</v>
      </c>
      <c r="G154" s="187">
        <v>100</v>
      </c>
      <c r="H154" s="122">
        <f>2.88*2+1</f>
        <v>6.76</v>
      </c>
      <c r="I154" s="122">
        <f t="shared" si="59"/>
        <v>35.4176</v>
      </c>
      <c r="J154" s="244">
        <f t="shared" si="60"/>
        <v>3541.76</v>
      </c>
      <c r="K154" s="122" cm="1">
        <f t="array" ref="K154">_FV(C154,"Price")</f>
        <v>21.21</v>
      </c>
      <c r="L154" s="122">
        <f t="shared" si="61"/>
        <v>88.239999999999696</v>
      </c>
      <c r="M154" s="126">
        <f t="shared" si="62"/>
        <v>2.4914166967835112E-2</v>
      </c>
      <c r="N154" s="123">
        <v>36.299999999999997</v>
      </c>
      <c r="O154" s="223">
        <v>44474</v>
      </c>
      <c r="P154" s="223">
        <v>44477</v>
      </c>
      <c r="Q154" s="237">
        <f>Table2[[#This Row],[Close Date]]-Table2[[#This Row],[Open Date]]</f>
        <v>3</v>
      </c>
      <c r="R154" s="178"/>
      <c r="T154" s="54"/>
      <c r="U154" s="134"/>
      <c r="V154" s="135"/>
    </row>
    <row r="155" spans="2:22" x14ac:dyDescent="0.25">
      <c r="B155" s="220">
        <v>125</v>
      </c>
      <c r="C155" s="121" t="e" vm="14">
        <v>#VALUE!</v>
      </c>
      <c r="D155" s="121" t="s">
        <v>10</v>
      </c>
      <c r="E155" s="120" t="s">
        <v>13</v>
      </c>
      <c r="F155" s="122">
        <v>156.93333333333334</v>
      </c>
      <c r="G155" s="187">
        <v>150</v>
      </c>
      <c r="H155" s="122">
        <v>12.52</v>
      </c>
      <c r="I155" s="122">
        <f t="shared" si="59"/>
        <v>157.01679999999999</v>
      </c>
      <c r="J155" s="244">
        <f t="shared" si="60"/>
        <v>23552.519999999997</v>
      </c>
      <c r="K155" s="122" cm="1">
        <f t="array" ref="K155">_FV(C155,"Price")</f>
        <v>115.09</v>
      </c>
      <c r="L155" s="122">
        <f t="shared" si="61"/>
        <v>837.4800000000007</v>
      </c>
      <c r="M155" s="126">
        <f t="shared" si="62"/>
        <v>3.5557978509306046E-2</v>
      </c>
      <c r="N155" s="123">
        <v>162.6</v>
      </c>
      <c r="O155" s="223">
        <v>44435</v>
      </c>
      <c r="P155" s="223">
        <v>44477</v>
      </c>
      <c r="Q155" s="237">
        <f>Table2[[#This Row],[Close Date]]-Table2[[#This Row],[Open Date]]</f>
        <v>42</v>
      </c>
      <c r="R155" s="178"/>
      <c r="T155" s="54"/>
      <c r="U155" s="134"/>
      <c r="V155" s="135"/>
    </row>
    <row r="156" spans="2:22" x14ac:dyDescent="0.25">
      <c r="B156" s="220">
        <v>126</v>
      </c>
      <c r="C156" s="121" t="e" vm="16">
        <v>#VALUE!</v>
      </c>
      <c r="D156" s="121" t="s">
        <v>21</v>
      </c>
      <c r="E156" s="120" t="s">
        <v>13</v>
      </c>
      <c r="F156" s="122">
        <v>37.880000000000003</v>
      </c>
      <c r="G156" s="187">
        <v>100</v>
      </c>
      <c r="H156" s="122">
        <f>2.88*2+1</f>
        <v>6.76</v>
      </c>
      <c r="I156" s="122">
        <f t="shared" ref="I156:I157" si="64">((F156*G156)+H156)/G156</f>
        <v>37.947600000000008</v>
      </c>
      <c r="J156" s="244">
        <f t="shared" ref="J156:J157" si="65">I156*G156</f>
        <v>3794.7600000000007</v>
      </c>
      <c r="K156" s="122" cm="1">
        <f t="array" ref="K156">_FV(C156,"Price")</f>
        <v>27.13</v>
      </c>
      <c r="L156" s="122">
        <f t="shared" ref="L156:L157" si="66">(N156-I156)*G156</f>
        <v>5.2399999999991564</v>
      </c>
      <c r="M156" s="126">
        <f t="shared" ref="M156:M157" si="67">L156/J156</f>
        <v>1.3808514899490759E-3</v>
      </c>
      <c r="N156" s="123">
        <v>38</v>
      </c>
      <c r="O156" s="223">
        <v>44477</v>
      </c>
      <c r="P156" s="223">
        <v>44480</v>
      </c>
      <c r="Q156" s="237">
        <f>Table2[[#This Row],[Close Date]]-Table2[[#This Row],[Open Date]]</f>
        <v>3</v>
      </c>
      <c r="R156" s="178"/>
      <c r="T156" s="54"/>
      <c r="U156" s="134"/>
      <c r="V156" s="135"/>
    </row>
    <row r="157" spans="2:22" x14ac:dyDescent="0.25">
      <c r="B157" s="220">
        <v>127</v>
      </c>
      <c r="C157" s="121" t="e" vm="45">
        <v>#VALUE!</v>
      </c>
      <c r="D157" s="121" t="s">
        <v>10</v>
      </c>
      <c r="E157" s="120" t="s">
        <v>13</v>
      </c>
      <c r="F157" s="122">
        <v>70</v>
      </c>
      <c r="G157" s="187">
        <v>100</v>
      </c>
      <c r="H157" s="122">
        <f t="shared" ref="H157" si="68">2.88*2+1</f>
        <v>6.76</v>
      </c>
      <c r="I157" s="122">
        <f t="shared" si="64"/>
        <v>70.067599999999999</v>
      </c>
      <c r="J157" s="244">
        <f t="shared" si="65"/>
        <v>7006.76</v>
      </c>
      <c r="K157" s="122" cm="1">
        <f t="array" ref="K157">_FV(C157,"Price")</f>
        <v>79.86</v>
      </c>
      <c r="L157" s="122">
        <f t="shared" si="66"/>
        <v>23.239999999999839</v>
      </c>
      <c r="M157" s="126">
        <f t="shared" si="67"/>
        <v>3.3167969218297526E-3</v>
      </c>
      <c r="N157" s="123">
        <v>70.3</v>
      </c>
      <c r="O157" s="223">
        <v>44477</v>
      </c>
      <c r="P157" s="223">
        <v>44480</v>
      </c>
      <c r="Q157" s="237">
        <f>Table2[[#This Row],[Close Date]]-Table2[[#This Row],[Open Date]]</f>
        <v>3</v>
      </c>
      <c r="R157" s="178"/>
      <c r="T157" s="54"/>
      <c r="U157" s="134"/>
      <c r="V157" s="135"/>
    </row>
    <row r="158" spans="2:22" x14ac:dyDescent="0.25">
      <c r="B158" s="220">
        <v>128</v>
      </c>
      <c r="C158" s="121" t="e" vm="45">
        <v>#VALUE!</v>
      </c>
      <c r="D158" s="121" t="s">
        <v>10</v>
      </c>
      <c r="E158" s="120" t="s">
        <v>13</v>
      </c>
      <c r="F158" s="122">
        <v>67.5</v>
      </c>
      <c r="G158" s="187">
        <v>100</v>
      </c>
      <c r="H158" s="122">
        <f>2.88*3+1</f>
        <v>9.64</v>
      </c>
      <c r="I158" s="122">
        <f t="shared" ref="I158:I160" si="69">((F158*G158)+H158)/G158</f>
        <v>67.596400000000003</v>
      </c>
      <c r="J158" s="244">
        <f t="shared" ref="J158:J162" si="70">I158*G158</f>
        <v>6759.64</v>
      </c>
      <c r="K158" s="122" cm="1">
        <f t="array" ref="K158">_FV(C158,"Price")</f>
        <v>79.86</v>
      </c>
      <c r="L158" s="122">
        <f t="shared" ref="L158:L160" si="71">(N158-I158)*G158</f>
        <v>40.359999999999729</v>
      </c>
      <c r="M158" s="126">
        <f t="shared" ref="M158:M160" si="72">L158/J158</f>
        <v>5.9707321691687323E-3</v>
      </c>
      <c r="N158" s="123">
        <v>68</v>
      </c>
      <c r="O158" s="223">
        <v>44481</v>
      </c>
      <c r="P158" s="223">
        <v>44483</v>
      </c>
      <c r="Q158" s="237">
        <f>Table2[[#This Row],[Close Date]]-Table2[[#This Row],[Open Date]]</f>
        <v>2</v>
      </c>
      <c r="R158" s="178"/>
      <c r="T158" s="54"/>
      <c r="U158" s="134"/>
      <c r="V158" s="135"/>
    </row>
    <row r="159" spans="2:22" x14ac:dyDescent="0.25">
      <c r="B159" s="220">
        <v>129</v>
      </c>
      <c r="C159" s="121" t="e" vm="14">
        <v>#VALUE!</v>
      </c>
      <c r="D159" s="121" t="s">
        <v>10</v>
      </c>
      <c r="E159" s="120" t="s">
        <v>13</v>
      </c>
      <c r="F159" s="122">
        <v>167.65555555555557</v>
      </c>
      <c r="G159" s="187">
        <v>130</v>
      </c>
      <c r="H159" s="122">
        <v>21.16</v>
      </c>
      <c r="I159" s="122">
        <f t="shared" si="69"/>
        <v>167.81832478632478</v>
      </c>
      <c r="J159" s="244">
        <f t="shared" si="70"/>
        <v>21816.382222222222</v>
      </c>
      <c r="K159" s="122" cm="1">
        <f t="array" ref="K159">_FV(C159,"Price")</f>
        <v>115.09</v>
      </c>
      <c r="L159" s="122">
        <f t="shared" si="71"/>
        <v>117.6177777777778</v>
      </c>
      <c r="M159" s="126">
        <f t="shared" si="72"/>
        <v>5.3912594938849224E-3</v>
      </c>
      <c r="N159" s="123">
        <f>(168.5*80+169*30+169.2*20)/130</f>
        <v>168.72307692307692</v>
      </c>
      <c r="O159" s="223">
        <v>44480</v>
      </c>
      <c r="P159" s="223">
        <v>44484</v>
      </c>
      <c r="Q159" s="237">
        <f>Table2[[#This Row],[Close Date]]-Table2[[#This Row],[Open Date]]</f>
        <v>4</v>
      </c>
      <c r="R159" s="178"/>
      <c r="T159" s="54"/>
      <c r="U159" s="134"/>
      <c r="V159" s="135"/>
    </row>
    <row r="160" spans="2:22" x14ac:dyDescent="0.25">
      <c r="B160" s="220">
        <v>130</v>
      </c>
      <c r="C160" s="121" t="e" vm="16">
        <v>#VALUE!</v>
      </c>
      <c r="D160" s="121" t="s">
        <v>21</v>
      </c>
      <c r="E160" s="120" t="s">
        <v>13</v>
      </c>
      <c r="F160" s="122">
        <f>(38.8+42.5)/2</f>
        <v>40.65</v>
      </c>
      <c r="G160" s="187">
        <v>100</v>
      </c>
      <c r="H160" s="122">
        <f>2.88*3+1</f>
        <v>9.64</v>
      </c>
      <c r="I160" s="122">
        <f t="shared" si="69"/>
        <v>40.746400000000001</v>
      </c>
      <c r="J160" s="244">
        <f t="shared" si="70"/>
        <v>4074.6400000000003</v>
      </c>
      <c r="K160" s="122" cm="1">
        <f t="array" ref="K160">_FV(C160,"Price")</f>
        <v>27.13</v>
      </c>
      <c r="L160" s="122">
        <f t="shared" si="71"/>
        <v>158.85999999999996</v>
      </c>
      <c r="M160" s="126">
        <f t="shared" si="72"/>
        <v>3.8987493373647722E-2</v>
      </c>
      <c r="N160" s="123">
        <f>(42.17+42.5)/2</f>
        <v>42.335000000000001</v>
      </c>
      <c r="O160" s="223">
        <v>44414</v>
      </c>
      <c r="P160" s="223">
        <v>44484</v>
      </c>
      <c r="Q160" s="237">
        <f>Table2[[#This Row],[Close Date]]-Table2[[#This Row],[Open Date]]</f>
        <v>70</v>
      </c>
      <c r="R160" s="178"/>
      <c r="T160" s="54"/>
      <c r="U160" s="134"/>
      <c r="V160" s="135"/>
    </row>
    <row r="161" spans="2:22" x14ac:dyDescent="0.25">
      <c r="B161" s="222">
        <v>131</v>
      </c>
      <c r="C161" s="65" t="e" vm="1">
        <v>#VALUE!</v>
      </c>
      <c r="D161" s="65" t="s">
        <v>7</v>
      </c>
      <c r="E161" s="115" t="s">
        <v>12</v>
      </c>
      <c r="F161" s="66">
        <v>149.80000000000001</v>
      </c>
      <c r="G161" s="189">
        <v>100</v>
      </c>
      <c r="H161" s="66">
        <f>0.25%*Table2[[#This Row],[Buy Price]]*Table2[[#This Row],[Quantity]]*2/7.8</f>
        <v>9.602564102564104</v>
      </c>
      <c r="I161" s="66">
        <f>((F161*G161)+H161*7.8)/G161</f>
        <v>150.54900000000001</v>
      </c>
      <c r="J161" s="246">
        <f t="shared" si="70"/>
        <v>15054.900000000001</v>
      </c>
      <c r="K161" s="66" cm="1">
        <f t="array" ref="K161">_FV(C161,"Price")</f>
        <v>113.5</v>
      </c>
      <c r="L161" s="67">
        <f>(N161-I161)*G161/7.8</f>
        <v>153.21794871794864</v>
      </c>
      <c r="M161" s="72">
        <f>L161*7.8/J161</f>
        <v>7.9382792313465997E-2</v>
      </c>
      <c r="N161" s="174">
        <v>162.5</v>
      </c>
      <c r="O161" s="260">
        <v>44455</v>
      </c>
      <c r="P161" s="225">
        <v>44487</v>
      </c>
      <c r="Q161" s="239">
        <f>Table2[[#This Row],[Close Date]]-Table2[[#This Row],[Open Date]]</f>
        <v>32</v>
      </c>
      <c r="R161" s="178"/>
      <c r="T161" s="54"/>
      <c r="U161" s="134"/>
      <c r="V161" s="135"/>
    </row>
    <row r="162" spans="2:22" x14ac:dyDescent="0.25">
      <c r="B162" s="222">
        <v>132</v>
      </c>
      <c r="C162" s="65" t="e" vm="38">
        <v>#VALUE!</v>
      </c>
      <c r="D162" s="65" t="s">
        <v>10</v>
      </c>
      <c r="E162" s="115" t="s">
        <v>13</v>
      </c>
      <c r="F162" s="66">
        <v>166.6</v>
      </c>
      <c r="G162" s="189">
        <v>40</v>
      </c>
      <c r="H162" s="66">
        <f>2.88*3+1</f>
        <v>9.64</v>
      </c>
      <c r="I162" s="66">
        <f t="shared" ref="I162:I165" si="73">((F162*G162)+H162)/G162</f>
        <v>166.84100000000001</v>
      </c>
      <c r="J162" s="246">
        <f t="shared" si="70"/>
        <v>6673.64</v>
      </c>
      <c r="K162" s="66" cm="1">
        <f t="array" ref="K162">_FV(C162,"Price")</f>
        <v>147.44999999999999</v>
      </c>
      <c r="L162" s="67">
        <f t="shared" ref="L162:L165" si="74">(N162-I162)*G162</f>
        <v>406.35999999999967</v>
      </c>
      <c r="M162" s="72">
        <f t="shared" ref="M162:M165" si="75">L162/J162</f>
        <v>6.0890308737060979E-2</v>
      </c>
      <c r="N162" s="174">
        <f>(175+179)/2</f>
        <v>177</v>
      </c>
      <c r="O162" s="260">
        <v>44398</v>
      </c>
      <c r="P162" s="225">
        <v>44488</v>
      </c>
      <c r="Q162" s="239">
        <f>Table2[[#This Row],[Close Date]]-Table2[[#This Row],[Open Date]]</f>
        <v>90</v>
      </c>
      <c r="R162" s="178"/>
      <c r="T162" s="54"/>
      <c r="U162" s="134"/>
      <c r="V162" s="135"/>
    </row>
    <row r="163" spans="2:22" x14ac:dyDescent="0.25">
      <c r="B163" s="220">
        <v>133</v>
      </c>
      <c r="C163" s="121" t="e" vm="14">
        <v>#VALUE!</v>
      </c>
      <c r="D163" s="121" t="s">
        <v>10</v>
      </c>
      <c r="E163" s="120" t="s">
        <v>13</v>
      </c>
      <c r="F163" s="122">
        <v>167.65555555555557</v>
      </c>
      <c r="G163" s="187">
        <v>30</v>
      </c>
      <c r="H163" s="122">
        <f t="shared" ref="H163" si="76">2.88*2+1</f>
        <v>6.76</v>
      </c>
      <c r="I163" s="122">
        <f t="shared" si="73"/>
        <v>167.8808888888889</v>
      </c>
      <c r="J163" s="244">
        <f t="shared" ref="J163:J165" si="77">I163*G163</f>
        <v>5036.4266666666672</v>
      </c>
      <c r="K163" s="122" cm="1">
        <f t="array" ref="K163">_FV(C163,"Price")</f>
        <v>115.09</v>
      </c>
      <c r="L163" s="122">
        <f t="shared" si="74"/>
        <v>194.0733333333327</v>
      </c>
      <c r="M163" s="126">
        <f t="shared" si="75"/>
        <v>3.8533934112015798E-2</v>
      </c>
      <c r="N163" s="123">
        <v>174.35</v>
      </c>
      <c r="O163" s="223">
        <v>44480</v>
      </c>
      <c r="P163" s="223">
        <v>44488</v>
      </c>
      <c r="Q163" s="237">
        <f>Table2[[#This Row],[Close Date]]-Table2[[#This Row],[Open Date]]</f>
        <v>8</v>
      </c>
      <c r="R163" s="178"/>
      <c r="T163" s="54"/>
      <c r="U163" s="134"/>
      <c r="V163" s="135"/>
    </row>
    <row r="164" spans="2:22" x14ac:dyDescent="0.25">
      <c r="B164" s="222">
        <v>134</v>
      </c>
      <c r="C164" s="65" t="e" vm="16">
        <v>#VALUE!</v>
      </c>
      <c r="D164" s="65" t="s">
        <v>21</v>
      </c>
      <c r="E164" s="115" t="s">
        <v>13</v>
      </c>
      <c r="F164" s="66">
        <v>42.5</v>
      </c>
      <c r="G164" s="189">
        <v>50</v>
      </c>
      <c r="H164" s="66">
        <f>2.88*2+1</f>
        <v>6.76</v>
      </c>
      <c r="I164" s="66">
        <f t="shared" si="73"/>
        <v>42.635200000000005</v>
      </c>
      <c r="J164" s="246">
        <f t="shared" si="77"/>
        <v>2131.7600000000002</v>
      </c>
      <c r="K164" s="66" cm="1">
        <f t="array" ref="K164">_FV(C164,"Price")</f>
        <v>27.13</v>
      </c>
      <c r="L164" s="67">
        <f t="shared" si="74"/>
        <v>143.23999999999978</v>
      </c>
      <c r="M164" s="72">
        <f t="shared" si="75"/>
        <v>6.7193305062483472E-2</v>
      </c>
      <c r="N164" s="174">
        <v>45.5</v>
      </c>
      <c r="O164" s="260">
        <v>44414</v>
      </c>
      <c r="P164" s="225">
        <v>44494</v>
      </c>
      <c r="Q164" s="239">
        <f>Table2[[#This Row],[Close Date]]-Table2[[#This Row],[Open Date]]</f>
        <v>80</v>
      </c>
      <c r="R164" s="178"/>
      <c r="T164" s="54"/>
      <c r="U164" s="134"/>
      <c r="V164" s="135"/>
    </row>
    <row r="165" spans="2:22" x14ac:dyDescent="0.25">
      <c r="B165" s="222">
        <v>135</v>
      </c>
      <c r="C165" s="65" t="e" vm="29">
        <v>#VALUE!</v>
      </c>
      <c r="D165" s="65" t="s">
        <v>21</v>
      </c>
      <c r="E165" s="115" t="s">
        <v>13</v>
      </c>
      <c r="F165" s="66">
        <v>40.975000000000001</v>
      </c>
      <c r="G165" s="189">
        <v>50</v>
      </c>
      <c r="H165" s="66">
        <v>12.52</v>
      </c>
      <c r="I165" s="66">
        <f t="shared" si="73"/>
        <v>41.2254</v>
      </c>
      <c r="J165" s="246">
        <f t="shared" si="77"/>
        <v>2061.27</v>
      </c>
      <c r="K165" s="66" cm="1">
        <f t="array" ref="K165">_FV(C165,"Price")</f>
        <v>21.21</v>
      </c>
      <c r="L165" s="67">
        <f t="shared" si="74"/>
        <v>113.72999999999998</v>
      </c>
      <c r="M165" s="72">
        <f t="shared" si="75"/>
        <v>5.5174722379891995E-2</v>
      </c>
      <c r="N165" s="174">
        <v>43.5</v>
      </c>
      <c r="O165" s="260">
        <v>44419</v>
      </c>
      <c r="P165" s="225">
        <v>44504</v>
      </c>
      <c r="Q165" s="239">
        <f>Table2[[#This Row],[Close Date]]-Table2[[#This Row],[Open Date]]</f>
        <v>85</v>
      </c>
      <c r="R165" s="178"/>
      <c r="T165" s="54"/>
      <c r="U165" s="134"/>
      <c r="V165" s="135"/>
    </row>
    <row r="166" spans="2:22" x14ac:dyDescent="0.25">
      <c r="B166" s="220">
        <v>136</v>
      </c>
      <c r="C166" s="121" t="e" vm="48">
        <v>#VALUE!</v>
      </c>
      <c r="D166" s="121" t="s">
        <v>10</v>
      </c>
      <c r="E166" s="120" t="s">
        <v>13</v>
      </c>
      <c r="F166" s="122">
        <v>243.2</v>
      </c>
      <c r="G166" s="187">
        <v>30</v>
      </c>
      <c r="H166" s="122">
        <f t="shared" ref="H166:H169" si="78">2.88*2+1</f>
        <v>6.76</v>
      </c>
      <c r="I166" s="122">
        <f t="shared" ref="I166:I167" si="79">((F166*G166)+H166)/G166</f>
        <v>243.42533333333333</v>
      </c>
      <c r="J166" s="244">
        <f t="shared" ref="J166:J167" si="80">I166*G166</f>
        <v>7302.76</v>
      </c>
      <c r="K166" s="122" cm="1">
        <f t="array" ref="K166">_FV(C166,"Price")</f>
        <v>230.05</v>
      </c>
      <c r="L166" s="122">
        <f t="shared" ref="L166:L167" si="81">(N166-I166)*G166</f>
        <v>83.239999999999839</v>
      </c>
      <c r="M166" s="126">
        <f t="shared" ref="M166:M167" si="82">L166/J166</f>
        <v>1.1398430182561091E-2</v>
      </c>
      <c r="N166" s="123">
        <v>246.2</v>
      </c>
      <c r="O166" s="223">
        <v>44446</v>
      </c>
      <c r="P166" s="223">
        <v>44508</v>
      </c>
      <c r="Q166" s="237">
        <f>Table2[[#This Row],[Close Date]]-Table2[[#This Row],[Open Date]]</f>
        <v>62</v>
      </c>
      <c r="R166" s="178"/>
      <c r="T166" s="54"/>
      <c r="U166" s="134"/>
      <c r="V166" s="135"/>
    </row>
    <row r="167" spans="2:22" x14ac:dyDescent="0.25">
      <c r="B167" s="222">
        <v>137</v>
      </c>
      <c r="C167" s="65" t="e" vm="29">
        <v>#VALUE!</v>
      </c>
      <c r="D167" s="65" t="s">
        <v>21</v>
      </c>
      <c r="E167" s="115" t="s">
        <v>13</v>
      </c>
      <c r="F167" s="66">
        <v>40.975000000000001</v>
      </c>
      <c r="G167" s="189">
        <v>50</v>
      </c>
      <c r="H167" s="66">
        <f t="shared" si="78"/>
        <v>6.76</v>
      </c>
      <c r="I167" s="66">
        <f t="shared" si="79"/>
        <v>41.110200000000006</v>
      </c>
      <c r="J167" s="246">
        <f t="shared" si="80"/>
        <v>2055.5100000000002</v>
      </c>
      <c r="K167" s="66" cm="1">
        <f t="array" ref="K167">_FV(C167,"Price")</f>
        <v>21.21</v>
      </c>
      <c r="L167" s="67">
        <f t="shared" si="81"/>
        <v>154.48999999999984</v>
      </c>
      <c r="M167" s="72">
        <f t="shared" si="82"/>
        <v>7.5158962982422764E-2</v>
      </c>
      <c r="N167" s="174">
        <v>44.2</v>
      </c>
      <c r="O167" s="260">
        <v>44419</v>
      </c>
      <c r="P167" s="225">
        <v>44508</v>
      </c>
      <c r="Q167" s="239">
        <f>Table2[[#This Row],[Close Date]]-Table2[[#This Row],[Open Date]]</f>
        <v>89</v>
      </c>
      <c r="R167" s="178"/>
      <c r="T167" s="54"/>
      <c r="U167" s="134"/>
      <c r="V167" s="135"/>
    </row>
    <row r="168" spans="2:22" x14ac:dyDescent="0.25">
      <c r="B168" s="220">
        <v>138</v>
      </c>
      <c r="C168" s="121" t="e" vm="48">
        <v>#VALUE!</v>
      </c>
      <c r="D168" s="121" t="s">
        <v>10</v>
      </c>
      <c r="E168" s="120" t="s">
        <v>13</v>
      </c>
      <c r="F168" s="122">
        <v>243.2</v>
      </c>
      <c r="G168" s="187">
        <v>20</v>
      </c>
      <c r="H168" s="122">
        <f t="shared" si="78"/>
        <v>6.76</v>
      </c>
      <c r="I168" s="122">
        <f t="shared" ref="I168:I169" si="83">((F168*G168)+H168)/G168</f>
        <v>243.53800000000001</v>
      </c>
      <c r="J168" s="244">
        <f t="shared" ref="J168:J169" si="84">I168*G168</f>
        <v>4870.76</v>
      </c>
      <c r="K168" s="122" cm="1">
        <f t="array" ref="K168">_FV(C168,"Price")</f>
        <v>230.05</v>
      </c>
      <c r="L168" s="122">
        <f t="shared" ref="L168:L169" si="85">(N168-I168)*G168</f>
        <v>159.23999999999978</v>
      </c>
      <c r="M168" s="126">
        <f t="shared" ref="M168:M169" si="86">L168/J168</f>
        <v>3.2693049955243081E-2</v>
      </c>
      <c r="N168" s="123">
        <v>251.5</v>
      </c>
      <c r="O168" s="223">
        <v>44446</v>
      </c>
      <c r="P168" s="223">
        <v>44511</v>
      </c>
      <c r="Q168" s="237">
        <f>Table2[[#This Row],[Close Date]]-Table2[[#This Row],[Open Date]]</f>
        <v>65</v>
      </c>
      <c r="R168" s="178"/>
      <c r="T168" s="54"/>
      <c r="U168" s="134"/>
      <c r="V168" s="135"/>
    </row>
    <row r="169" spans="2:22" x14ac:dyDescent="0.25">
      <c r="B169" s="220">
        <v>139</v>
      </c>
      <c r="C169" s="121" t="e" vm="29">
        <v>#VALUE!</v>
      </c>
      <c r="D169" s="121" t="s">
        <v>21</v>
      </c>
      <c r="E169" s="120" t="s">
        <v>13</v>
      </c>
      <c r="F169" s="122">
        <v>40.975000000000001</v>
      </c>
      <c r="G169" s="187">
        <v>100</v>
      </c>
      <c r="H169" s="122">
        <f t="shared" si="78"/>
        <v>6.76</v>
      </c>
      <c r="I169" s="122">
        <f t="shared" si="83"/>
        <v>41.0426</v>
      </c>
      <c r="J169" s="244">
        <f t="shared" si="84"/>
        <v>4104.26</v>
      </c>
      <c r="K169" s="122" cm="1">
        <f t="array" ref="K169">_FV(C169,"Price")</f>
        <v>21.21</v>
      </c>
      <c r="L169" s="122">
        <f t="shared" si="85"/>
        <v>15.740000000000265</v>
      </c>
      <c r="M169" s="126">
        <f t="shared" si="86"/>
        <v>3.8350396904680171E-3</v>
      </c>
      <c r="N169" s="123">
        <v>41.2</v>
      </c>
      <c r="O169" s="223">
        <v>44419</v>
      </c>
      <c r="P169" s="223">
        <v>44524</v>
      </c>
      <c r="Q169" s="237">
        <f>Table2[[#This Row],[Close Date]]-Table2[[#This Row],[Open Date]]</f>
        <v>105</v>
      </c>
      <c r="R169" s="178"/>
      <c r="T169" s="54"/>
      <c r="U169" s="134"/>
      <c r="V169" s="135"/>
    </row>
    <row r="170" spans="2:22" x14ac:dyDescent="0.25">
      <c r="B170" s="220">
        <v>140</v>
      </c>
      <c r="C170" s="121" t="e" vm="11">
        <v>#VALUE!</v>
      </c>
      <c r="D170" s="121" t="s">
        <v>10</v>
      </c>
      <c r="E170" s="120" t="s">
        <v>13</v>
      </c>
      <c r="F170" s="122">
        <f>(30*150+28.8*50)/200</f>
        <v>29.7</v>
      </c>
      <c r="G170" s="187">
        <v>200</v>
      </c>
      <c r="H170" s="122">
        <f>2.88*3+1</f>
        <v>9.64</v>
      </c>
      <c r="I170" s="122">
        <f t="shared" ref="I170:I171" si="87">((F170*G170)+H170)/G170</f>
        <v>29.748200000000001</v>
      </c>
      <c r="J170" s="244">
        <f t="shared" ref="J170:J171" si="88">I170*G170</f>
        <v>5949.64</v>
      </c>
      <c r="K170" s="122" cm="1">
        <f t="array" ref="K170">_FV(C170,"Price")</f>
        <v>26.48</v>
      </c>
      <c r="L170" s="122">
        <f t="shared" ref="L170:L171" si="89">(N170-I170)*G170</f>
        <v>150.35999999999987</v>
      </c>
      <c r="M170" s="126">
        <f t="shared" ref="M170:M171" si="90">L170/J170</f>
        <v>2.5272117304576389E-2</v>
      </c>
      <c r="N170" s="123">
        <v>30.5</v>
      </c>
      <c r="O170" s="223">
        <v>44534</v>
      </c>
      <c r="P170" s="223">
        <v>44536</v>
      </c>
      <c r="Q170" s="237">
        <f>Table2[[#This Row],[Close Date]]-Table2[[#This Row],[Open Date]]</f>
        <v>2</v>
      </c>
      <c r="R170" s="178"/>
      <c r="T170" s="54"/>
      <c r="U170" s="134"/>
      <c r="V170" s="135"/>
    </row>
    <row r="171" spans="2:22" x14ac:dyDescent="0.25">
      <c r="B171" s="220">
        <v>141</v>
      </c>
      <c r="C171" s="121" t="e" vm="27">
        <v>#VALUE!</v>
      </c>
      <c r="D171" s="121" t="s">
        <v>10</v>
      </c>
      <c r="E171" s="120" t="s">
        <v>13</v>
      </c>
      <c r="F171" s="122">
        <v>58</v>
      </c>
      <c r="G171" s="187">
        <v>100</v>
      </c>
      <c r="H171" s="122">
        <f>2.88*2+1</f>
        <v>6.76</v>
      </c>
      <c r="I171" s="122">
        <f t="shared" si="87"/>
        <v>58.067599999999999</v>
      </c>
      <c r="J171" s="244">
        <f t="shared" si="88"/>
        <v>5806.76</v>
      </c>
      <c r="K171" s="122" cm="1">
        <f t="array" ref="K171">_FV(C171,"Price")</f>
        <v>80.010000000000005</v>
      </c>
      <c r="L171" s="122">
        <f t="shared" si="89"/>
        <v>93.240000000000123</v>
      </c>
      <c r="M171" s="126">
        <f t="shared" si="90"/>
        <v>1.605714718707164E-2</v>
      </c>
      <c r="N171" s="123">
        <v>59</v>
      </c>
      <c r="O171" s="223">
        <v>44540</v>
      </c>
      <c r="P171" s="223">
        <v>44543</v>
      </c>
      <c r="Q171" s="237">
        <f>Table2[[#This Row],[Close Date]]-Table2[[#This Row],[Open Date]]</f>
        <v>3</v>
      </c>
      <c r="R171" s="178"/>
      <c r="T171" s="54"/>
      <c r="U171" s="134"/>
      <c r="V171" s="135"/>
    </row>
    <row r="172" spans="2:22" x14ac:dyDescent="0.25">
      <c r="B172" s="220">
        <v>142</v>
      </c>
      <c r="C172" s="121" t="e" vm="28">
        <v>#VALUE!</v>
      </c>
      <c r="D172" s="121" t="s">
        <v>10</v>
      </c>
      <c r="E172" s="120" t="s">
        <v>13</v>
      </c>
      <c r="F172" s="122">
        <v>292</v>
      </c>
      <c r="G172" s="187">
        <v>30</v>
      </c>
      <c r="H172" s="122">
        <v>9.64</v>
      </c>
      <c r="I172" s="122">
        <f t="shared" ref="I172:I173" si="91">((F172*G172)+H172)/G172</f>
        <v>292.32133333333331</v>
      </c>
      <c r="J172" s="244">
        <f t="shared" ref="J172" si="92">I172*G172</f>
        <v>8769.64</v>
      </c>
      <c r="K172" s="122" cm="1">
        <f t="array" ref="K172">_FV(C172,"Price")</f>
        <v>282.19</v>
      </c>
      <c r="L172" s="122">
        <f t="shared" ref="L172" si="93">(N172-I172)*G172</f>
        <v>320.36000000000058</v>
      </c>
      <c r="M172" s="126">
        <f t="shared" ref="M172" si="94">L172/J172</f>
        <v>3.6530575941543852E-2</v>
      </c>
      <c r="N172" s="123">
        <v>303</v>
      </c>
      <c r="O172" s="223">
        <v>44544</v>
      </c>
      <c r="P172" s="223">
        <v>44546</v>
      </c>
      <c r="Q172" s="237">
        <f>Table2[[#This Row],[Close Date]]-Table2[[#This Row],[Open Date]]</f>
        <v>2</v>
      </c>
      <c r="R172" s="178"/>
      <c r="T172" s="54"/>
      <c r="U172" s="134"/>
      <c r="V172" s="135"/>
    </row>
    <row r="173" spans="2:22" x14ac:dyDescent="0.25">
      <c r="B173" s="221">
        <v>143</v>
      </c>
      <c r="C173" s="69" t="e" vm="31">
        <v>#VALUE!</v>
      </c>
      <c r="D173" s="69" t="s">
        <v>67</v>
      </c>
      <c r="E173" s="116" t="s">
        <v>12</v>
      </c>
      <c r="F173" s="173">
        <v>48.8</v>
      </c>
      <c r="G173" s="188">
        <v>150</v>
      </c>
      <c r="H173" s="173">
        <f t="shared" ref="H173" si="95">8.88*2</f>
        <v>17.760000000000002</v>
      </c>
      <c r="I173" s="173">
        <f t="shared" si="91"/>
        <v>48.918399999999998</v>
      </c>
      <c r="J173" s="245">
        <f>I173*G173/7.8</f>
        <v>940.73846153846148</v>
      </c>
      <c r="K173" s="173" cm="1">
        <f t="array" ref="K173">_FV(C173,"Price")</f>
        <v>55.3</v>
      </c>
      <c r="L173" s="533">
        <f>(N173-I173)*G173/7.8</f>
        <v>-36.892307692307661</v>
      </c>
      <c r="M173" s="117">
        <f t="shared" ref="M173:M176" si="96">L173/J173</f>
        <v>-3.9216327598613168E-2</v>
      </c>
      <c r="N173" s="173">
        <v>47</v>
      </c>
      <c r="O173" s="224">
        <v>44155</v>
      </c>
      <c r="P173" s="224">
        <v>44560</v>
      </c>
      <c r="Q173" s="238">
        <f>Table2[[#This Row],[Close Date]]-Table2[[#This Row],[Open Date]]</f>
        <v>405</v>
      </c>
      <c r="R173" s="178"/>
      <c r="T173" s="54"/>
      <c r="U173" s="134"/>
      <c r="V173" s="135"/>
    </row>
    <row r="174" spans="2:22" x14ac:dyDescent="0.25">
      <c r="B174" s="220">
        <v>144</v>
      </c>
      <c r="C174" s="121" t="e" vm="49">
        <v>#VALUE!</v>
      </c>
      <c r="D174" s="121" t="s">
        <v>10</v>
      </c>
      <c r="E174" s="120" t="s">
        <v>13</v>
      </c>
      <c r="F174" s="122">
        <v>43.5</v>
      </c>
      <c r="G174" s="187">
        <v>40</v>
      </c>
      <c r="H174" s="122">
        <v>9.64</v>
      </c>
      <c r="I174" s="122">
        <f t="shared" ref="I174:I176" si="97">((F174*G174)+H174)/G174</f>
        <v>43.741</v>
      </c>
      <c r="J174" s="244">
        <f t="shared" ref="J174:J176" si="98">I174*G174</f>
        <v>1749.6399999999999</v>
      </c>
      <c r="K174" s="122" cm="1">
        <f t="array" ref="K174">_FV(C174,"Price")</f>
        <v>37.76</v>
      </c>
      <c r="L174" s="122">
        <f t="shared" ref="L174:L176" si="99">(N174-I174)*G174</f>
        <v>58.360000000000127</v>
      </c>
      <c r="M174" s="126">
        <f t="shared" si="96"/>
        <v>3.3355433117669996E-2</v>
      </c>
      <c r="N174" s="123">
        <v>45.2</v>
      </c>
      <c r="O174" s="223">
        <v>44530</v>
      </c>
      <c r="P174" s="223">
        <v>44561</v>
      </c>
      <c r="Q174" s="237">
        <f>Table2[[#This Row],[Close Date]]-Table2[[#This Row],[Open Date]]</f>
        <v>31</v>
      </c>
      <c r="R174" s="178"/>
      <c r="T174" s="54"/>
      <c r="U174" s="134"/>
      <c r="V174" s="135"/>
    </row>
    <row r="175" spans="2:22" x14ac:dyDescent="0.25">
      <c r="B175" s="221">
        <v>145</v>
      </c>
      <c r="C175" s="69" t="e" vm="38">
        <v>#VALUE!</v>
      </c>
      <c r="D175" s="69" t="s">
        <v>10</v>
      </c>
      <c r="E175" s="116" t="s">
        <v>13</v>
      </c>
      <c r="F175" s="173">
        <v>174.86666666666667</v>
      </c>
      <c r="G175" s="188">
        <v>50</v>
      </c>
      <c r="H175" s="173">
        <v>9.64</v>
      </c>
      <c r="I175" s="173">
        <f t="shared" si="97"/>
        <v>175.05946666666668</v>
      </c>
      <c r="J175" s="245">
        <f t="shared" si="98"/>
        <v>8752.9733333333334</v>
      </c>
      <c r="K175" s="173" cm="1">
        <f t="array" ref="K175">_FV(C175,"Price")</f>
        <v>147.44999999999999</v>
      </c>
      <c r="L175" s="533">
        <f t="shared" si="99"/>
        <v>-1177.973333333334</v>
      </c>
      <c r="M175" s="117">
        <f t="shared" si="96"/>
        <v>-0.13457979231438316</v>
      </c>
      <c r="N175" s="173">
        <v>151.5</v>
      </c>
      <c r="O175" s="224">
        <v>44398</v>
      </c>
      <c r="P175" s="224">
        <v>44567</v>
      </c>
      <c r="Q175" s="238">
        <f>Table2[[#This Row],[Close Date]]-Table2[[#This Row],[Open Date]]</f>
        <v>169</v>
      </c>
      <c r="R175" s="178"/>
      <c r="T175" s="54"/>
      <c r="U175" s="134"/>
      <c r="V175" s="135"/>
    </row>
    <row r="176" spans="2:22" x14ac:dyDescent="0.25">
      <c r="B176" s="220">
        <v>146</v>
      </c>
      <c r="C176" s="121" t="e" vm="18">
        <v>#VALUE!</v>
      </c>
      <c r="D176" s="121" t="s">
        <v>21</v>
      </c>
      <c r="E176" s="120" t="s">
        <v>13</v>
      </c>
      <c r="F176" s="122">
        <v>5.18</v>
      </c>
      <c r="G176" s="187">
        <v>200</v>
      </c>
      <c r="H176" s="122">
        <f t="shared" ref="H176:H178" si="100">2.88*2+1</f>
        <v>6.76</v>
      </c>
      <c r="I176" s="122">
        <f t="shared" si="97"/>
        <v>5.2138</v>
      </c>
      <c r="J176" s="244">
        <f t="shared" si="98"/>
        <v>1042.76</v>
      </c>
      <c r="K176" s="122" cm="1">
        <f t="array" ref="K176">_FV(C176,"Price")</f>
        <v>6</v>
      </c>
      <c r="L176" s="122">
        <f t="shared" si="99"/>
        <v>13.240000000000052</v>
      </c>
      <c r="M176" s="126">
        <f t="shared" si="96"/>
        <v>1.269707315201969E-2</v>
      </c>
      <c r="N176" s="123">
        <v>5.28</v>
      </c>
      <c r="O176" s="223">
        <v>44565</v>
      </c>
      <c r="P176" s="223">
        <v>44567</v>
      </c>
      <c r="Q176" s="237">
        <f>Table2[[#This Row],[Close Date]]-Table2[[#This Row],[Open Date]]</f>
        <v>2</v>
      </c>
      <c r="R176" s="178"/>
      <c r="T176" s="54"/>
      <c r="U176" s="134"/>
      <c r="V176" s="135"/>
    </row>
    <row r="177" spans="2:22" x14ac:dyDescent="0.25">
      <c r="B177" s="220">
        <v>147</v>
      </c>
      <c r="C177" s="121" t="e" vm="49">
        <v>#VALUE!</v>
      </c>
      <c r="D177" s="121" t="s">
        <v>10</v>
      </c>
      <c r="E177" s="120" t="s">
        <v>13</v>
      </c>
      <c r="F177" s="122">
        <v>39</v>
      </c>
      <c r="G177" s="187">
        <v>100</v>
      </c>
      <c r="H177" s="122">
        <f t="shared" si="100"/>
        <v>6.76</v>
      </c>
      <c r="I177" s="122">
        <f t="shared" ref="I177:I179" si="101">((F177*G177)+H177)/G177</f>
        <v>39.067599999999999</v>
      </c>
      <c r="J177" s="244">
        <f t="shared" ref="J177:J179" si="102">I177*G177</f>
        <v>3906.7599999999998</v>
      </c>
      <c r="K177" s="122" cm="1">
        <f t="array" ref="K177">_FV(C177,"Price")</f>
        <v>37.76</v>
      </c>
      <c r="L177" s="122">
        <f t="shared" ref="L177:L179" si="103">(N177-I177)*G177</f>
        <v>43.240000000000123</v>
      </c>
      <c r="M177" s="126">
        <f t="shared" ref="M177:M179" si="104">L177/J177</f>
        <v>1.1067994962577718E-2</v>
      </c>
      <c r="N177" s="123">
        <v>39.5</v>
      </c>
      <c r="O177" s="223">
        <v>44565</v>
      </c>
      <c r="P177" s="223">
        <v>44567</v>
      </c>
      <c r="Q177" s="237">
        <f>Table2[[#This Row],[Close Date]]-Table2[[#This Row],[Open Date]]</f>
        <v>2</v>
      </c>
      <c r="R177" s="178"/>
      <c r="T177" s="54"/>
      <c r="U177" s="134"/>
      <c r="V177" s="135"/>
    </row>
    <row r="178" spans="2:22" x14ac:dyDescent="0.25">
      <c r="B178" s="220">
        <v>148</v>
      </c>
      <c r="C178" s="121" t="e" vm="50">
        <v>#VALUE!</v>
      </c>
      <c r="D178" s="121" t="s">
        <v>10</v>
      </c>
      <c r="E178" s="120" t="s">
        <v>13</v>
      </c>
      <c r="F178" s="122">
        <v>50.8</v>
      </c>
      <c r="G178" s="187">
        <v>50</v>
      </c>
      <c r="H178" s="122">
        <f t="shared" si="100"/>
        <v>6.76</v>
      </c>
      <c r="I178" s="122">
        <f t="shared" si="101"/>
        <v>50.935200000000002</v>
      </c>
      <c r="J178" s="244">
        <f t="shared" si="102"/>
        <v>2546.7600000000002</v>
      </c>
      <c r="K178" s="122" cm="1">
        <f t="array" ref="K178">_FV(C178,"Price")</f>
        <v>43.67</v>
      </c>
      <c r="L178" s="122">
        <f t="shared" si="103"/>
        <v>13.240000000000052</v>
      </c>
      <c r="M178" s="126">
        <f t="shared" si="104"/>
        <v>5.1987623490238775E-3</v>
      </c>
      <c r="N178" s="123">
        <v>51.2</v>
      </c>
      <c r="O178" s="223">
        <v>44565</v>
      </c>
      <c r="P178" s="223">
        <v>44567</v>
      </c>
      <c r="Q178" s="237">
        <f>Table2[[#This Row],[Close Date]]-Table2[[#This Row],[Open Date]]</f>
        <v>2</v>
      </c>
      <c r="R178" s="178"/>
      <c r="T178" s="54"/>
      <c r="U178" s="134"/>
      <c r="V178" s="135"/>
    </row>
    <row r="179" spans="2:22" x14ac:dyDescent="0.25">
      <c r="B179" s="221">
        <v>145</v>
      </c>
      <c r="C179" s="69" t="e" vm="38">
        <v>#VALUE!</v>
      </c>
      <c r="D179" s="69" t="s">
        <v>10</v>
      </c>
      <c r="E179" s="116" t="s">
        <v>13</v>
      </c>
      <c r="F179" s="173">
        <v>174.86666666666667</v>
      </c>
      <c r="G179" s="188">
        <v>10</v>
      </c>
      <c r="H179" s="173">
        <v>9.64</v>
      </c>
      <c r="I179" s="173">
        <f t="shared" si="101"/>
        <v>175.83066666666667</v>
      </c>
      <c r="J179" s="245">
        <f t="shared" si="102"/>
        <v>1758.3066666666668</v>
      </c>
      <c r="K179" s="173" cm="1">
        <f t="array" ref="K179">_FV(C179,"Price")</f>
        <v>147.44999999999999</v>
      </c>
      <c r="L179" s="533">
        <f t="shared" si="103"/>
        <v>-226.30666666666684</v>
      </c>
      <c r="M179" s="117">
        <f t="shared" si="104"/>
        <v>-0.12870716522715045</v>
      </c>
      <c r="N179" s="173">
        <v>153.19999999999999</v>
      </c>
      <c r="O179" s="224">
        <v>44398</v>
      </c>
      <c r="P179" s="224">
        <v>44568</v>
      </c>
      <c r="Q179" s="238">
        <f>Table2[[#This Row],[Close Date]]-Table2[[#This Row],[Open Date]]</f>
        <v>170</v>
      </c>
      <c r="R179" s="178"/>
      <c r="T179" s="54"/>
      <c r="U179" s="134"/>
      <c r="V179" s="135"/>
    </row>
    <row r="180" spans="2:22" x14ac:dyDescent="0.25">
      <c r="B180" s="221">
        <v>146</v>
      </c>
      <c r="C180" s="69" t="e" vm="18">
        <v>#VALUE!</v>
      </c>
      <c r="D180" s="69" t="s">
        <v>10</v>
      </c>
      <c r="E180" s="116" t="s">
        <v>13</v>
      </c>
      <c r="F180" s="173">
        <v>5.77</v>
      </c>
      <c r="G180" s="188">
        <v>300</v>
      </c>
      <c r="H180" s="173">
        <v>6.76</v>
      </c>
      <c r="I180" s="173">
        <f t="shared" ref="I180:I181" si="105">((F180*G180)+H180)/G180</f>
        <v>5.7925333333333322</v>
      </c>
      <c r="J180" s="245">
        <f t="shared" ref="J180:J181" si="106">I180*G180</f>
        <v>1737.7599999999998</v>
      </c>
      <c r="K180" s="173" cm="1">
        <f t="array" ref="K180">_FV(C180,"Price")</f>
        <v>6</v>
      </c>
      <c r="L180" s="533">
        <f t="shared" ref="L180:L181" si="107">(N180-I180)*G180</f>
        <v>-117.75999999999955</v>
      </c>
      <c r="M180" s="117">
        <f t="shared" ref="M180:M181" si="108">L180/J180</f>
        <v>-6.7765399134517748E-2</v>
      </c>
      <c r="N180" s="173">
        <v>5.4</v>
      </c>
      <c r="O180" s="224">
        <v>44546</v>
      </c>
      <c r="P180" s="224">
        <v>44571</v>
      </c>
      <c r="Q180" s="238">
        <f>Table2[[#This Row],[Close Date]]-Table2[[#This Row],[Open Date]]</f>
        <v>25</v>
      </c>
      <c r="R180" s="178"/>
      <c r="T180" s="54"/>
      <c r="U180" s="134"/>
      <c r="V180" s="135"/>
    </row>
    <row r="181" spans="2:22" x14ac:dyDescent="0.25">
      <c r="B181" s="221">
        <v>147</v>
      </c>
      <c r="C181" s="69" t="e" vm="14">
        <v>#VALUE!</v>
      </c>
      <c r="D181" s="69" t="s">
        <v>10</v>
      </c>
      <c r="E181" s="116" t="s">
        <v>13</v>
      </c>
      <c r="F181" s="173">
        <v>147.30138888888888</v>
      </c>
      <c r="G181" s="188">
        <v>80</v>
      </c>
      <c r="H181" s="173">
        <v>19.279999999999998</v>
      </c>
      <c r="I181" s="173">
        <f t="shared" si="105"/>
        <v>147.54238888888887</v>
      </c>
      <c r="J181" s="245">
        <f t="shared" si="106"/>
        <v>11803.391111111108</v>
      </c>
      <c r="K181" s="173" cm="1">
        <f t="array" ref="K181">_FV(C181,"Price")</f>
        <v>115.09</v>
      </c>
      <c r="L181" s="533">
        <f t="shared" si="107"/>
        <v>-1483.3911111111092</v>
      </c>
      <c r="M181" s="117">
        <f t="shared" si="108"/>
        <v>-0.12567499434249202</v>
      </c>
      <c r="N181" s="173">
        <v>129</v>
      </c>
      <c r="O181" s="224">
        <v>44480</v>
      </c>
      <c r="P181" s="224">
        <v>44571</v>
      </c>
      <c r="Q181" s="238">
        <f>Table2[[#This Row],[Close Date]]-Table2[[#This Row],[Open Date]]</f>
        <v>91</v>
      </c>
      <c r="R181" s="178"/>
      <c r="T181" s="54"/>
      <c r="U181" s="134"/>
      <c r="V181" s="135"/>
    </row>
    <row r="182" spans="2:22" x14ac:dyDescent="0.25">
      <c r="B182" s="221">
        <v>148</v>
      </c>
      <c r="C182" s="69" t="e" vm="51">
        <v>#VALUE!</v>
      </c>
      <c r="D182" s="69" t="s">
        <v>67</v>
      </c>
      <c r="E182" s="116" t="s">
        <v>12</v>
      </c>
      <c r="F182" s="173">
        <v>30.7</v>
      </c>
      <c r="G182" s="188">
        <v>200</v>
      </c>
      <c r="H182" s="173">
        <v>3.9870129870129869</v>
      </c>
      <c r="I182" s="173">
        <f>((F182*G182)+H182*7.8)/G182</f>
        <v>30.855493506493509</v>
      </c>
      <c r="J182" s="245">
        <f>I182*G182/7.8</f>
        <v>791.16650016650021</v>
      </c>
      <c r="K182" s="173" cm="1">
        <f t="array" ref="K182">_FV(Table2[[#This Row],[Stock Name]],"Price")</f>
        <v>26.9</v>
      </c>
      <c r="L182" s="533">
        <f>(N182-I182)*G182/7.8</f>
        <v>-45.012654012654053</v>
      </c>
      <c r="M182" s="117">
        <f t="shared" ref="M182" si="109">L182/J182</f>
        <v>-5.6894034319174516E-2</v>
      </c>
      <c r="N182" s="173">
        <v>29.1</v>
      </c>
      <c r="O182" s="224">
        <v>44489</v>
      </c>
      <c r="P182" s="224">
        <v>44574</v>
      </c>
      <c r="Q182" s="238">
        <f>Table2[[#This Row],[Close Date]]-Table2[[#This Row],[Open Date]]</f>
        <v>85</v>
      </c>
      <c r="R182" s="178"/>
      <c r="T182" s="54"/>
      <c r="U182" s="134"/>
      <c r="V182" s="135"/>
    </row>
    <row r="183" spans="2:22" x14ac:dyDescent="0.25">
      <c r="B183" s="221">
        <v>149</v>
      </c>
      <c r="C183" s="69" t="e" vm="52">
        <v>#VALUE!</v>
      </c>
      <c r="D183" s="69" t="s">
        <v>67</v>
      </c>
      <c r="E183" s="116" t="s">
        <v>12</v>
      </c>
      <c r="F183" s="173">
        <v>145.5</v>
      </c>
      <c r="G183" s="188">
        <v>100</v>
      </c>
      <c r="H183" s="173">
        <v>27.98076923076923</v>
      </c>
      <c r="I183" s="173">
        <f>((F183*G183)+H183*7.8)/G183</f>
        <v>147.6825</v>
      </c>
      <c r="J183" s="245">
        <f>I183*G183/7.8</f>
        <v>1893.3653846153848</v>
      </c>
      <c r="K183" s="173" cm="1">
        <f t="array" ref="K183">_FV(Table2[[#This Row],[Stock Name]],"Price")</f>
        <v>113.5</v>
      </c>
      <c r="L183" s="533">
        <f>(N183-I183)*G183/7.8</f>
        <v>-203.62179487179478</v>
      </c>
      <c r="M183" s="117">
        <f t="shared" ref="M183:M184" si="110">L183/J183</f>
        <v>-0.10754490207031972</v>
      </c>
      <c r="N183" s="173">
        <v>131.80000000000001</v>
      </c>
      <c r="O183" s="224">
        <v>44512</v>
      </c>
      <c r="P183" s="224">
        <v>44574</v>
      </c>
      <c r="Q183" s="238">
        <f>Table2[[#This Row],[Close Date]]-Table2[[#This Row],[Open Date]]</f>
        <v>62</v>
      </c>
      <c r="R183" s="178"/>
      <c r="T183" s="54"/>
      <c r="U183" s="134"/>
      <c r="V183" s="135"/>
    </row>
    <row r="184" spans="2:22" x14ac:dyDescent="0.25">
      <c r="B184" s="220">
        <v>150</v>
      </c>
      <c r="C184" s="121" t="e" vm="28">
        <v>#VALUE!</v>
      </c>
      <c r="D184" s="121" t="s">
        <v>10</v>
      </c>
      <c r="E184" s="120" t="s">
        <v>13</v>
      </c>
      <c r="F184" s="122">
        <v>267.66666666666669</v>
      </c>
      <c r="G184" s="187">
        <v>105</v>
      </c>
      <c r="H184" s="122">
        <v>9.64</v>
      </c>
      <c r="I184" s="122">
        <f t="shared" ref="I184" si="111">((F184*G184)+H184)/G184</f>
        <v>267.75847619047624</v>
      </c>
      <c r="J184" s="244">
        <f t="shared" ref="J184" si="112">I184*G184</f>
        <v>28114.640000000007</v>
      </c>
      <c r="K184" s="122" cm="1">
        <f t="array" ref="K184">_FV(C184,"Price")</f>
        <v>282.19</v>
      </c>
      <c r="L184" s="122">
        <f t="shared" ref="L184" si="113">(N184-I184)*G184</f>
        <v>136.85999999999524</v>
      </c>
      <c r="M184" s="126">
        <f t="shared" si="110"/>
        <v>4.8679264610891407E-3</v>
      </c>
      <c r="N184" s="123">
        <f>(268.5*25+269.2*20+269.5*30+269*30)/105</f>
        <v>269.06190476190477</v>
      </c>
      <c r="O184" s="223">
        <v>44574</v>
      </c>
      <c r="P184" s="223">
        <v>44575</v>
      </c>
      <c r="Q184" s="237">
        <f>Table2[[#This Row],[Close Date]]-Table2[[#This Row],[Open Date]]</f>
        <v>1</v>
      </c>
      <c r="R184" s="178"/>
      <c r="T184" s="54"/>
      <c r="U184" s="134"/>
      <c r="V184" s="135"/>
    </row>
    <row r="185" spans="2:22" x14ac:dyDescent="0.25">
      <c r="B185" s="220">
        <v>151</v>
      </c>
      <c r="C185" s="121" t="e" vm="53">
        <v>#VALUE!</v>
      </c>
      <c r="D185" s="121" t="s">
        <v>10</v>
      </c>
      <c r="E185" s="120" t="s">
        <v>13</v>
      </c>
      <c r="F185" s="122">
        <v>2710</v>
      </c>
      <c r="G185" s="187">
        <v>1</v>
      </c>
      <c r="H185" s="122">
        <f>2.88*2+1</f>
        <v>6.76</v>
      </c>
      <c r="I185" s="122">
        <f t="shared" ref="I185" si="114">((F185*G185)+H185)/G185</f>
        <v>2716.76</v>
      </c>
      <c r="J185" s="244">
        <f t="shared" ref="J185" si="115">I185*G185</f>
        <v>2716.76</v>
      </c>
      <c r="K185" s="122" cm="1">
        <f t="array" ref="K185">_FV(C185,"Price")</f>
        <v>2839</v>
      </c>
      <c r="L185" s="122">
        <f t="shared" ref="L185" si="116">(N185-I185)*G185</f>
        <v>30.839999999999691</v>
      </c>
      <c r="M185" s="126">
        <f t="shared" ref="M185" si="117">L185/J185</f>
        <v>1.1351757240241938E-2</v>
      </c>
      <c r="N185" s="123">
        <v>2747.6</v>
      </c>
      <c r="O185" s="223">
        <v>44579</v>
      </c>
      <c r="P185" s="223">
        <v>44581</v>
      </c>
      <c r="Q185" s="237">
        <f>Table2[[#This Row],[Close Date]]-Table2[[#This Row],[Open Date]]</f>
        <v>2</v>
      </c>
      <c r="R185" s="178"/>
      <c r="T185" s="54"/>
      <c r="U185" s="134"/>
      <c r="V185" s="135"/>
    </row>
    <row r="186" spans="2:22" x14ac:dyDescent="0.25">
      <c r="B186" s="221">
        <v>152</v>
      </c>
      <c r="C186" s="69" t="e" vm="54">
        <v>#VALUE!</v>
      </c>
      <c r="D186" s="69" t="s">
        <v>10</v>
      </c>
      <c r="E186" s="116" t="s">
        <v>13</v>
      </c>
      <c r="F186" s="173">
        <v>215</v>
      </c>
      <c r="G186" s="188">
        <v>20</v>
      </c>
      <c r="H186" s="173">
        <v>12.52</v>
      </c>
      <c r="I186" s="173">
        <f t="shared" ref="I186" si="118">((F186*G186)+H186)/G186</f>
        <v>215.62600000000003</v>
      </c>
      <c r="J186" s="245">
        <f t="shared" ref="J186" si="119">I186*G186</f>
        <v>4312.5200000000004</v>
      </c>
      <c r="K186" s="173" cm="1">
        <f t="array" ref="K186">_FV(C186,"Price")</f>
        <v>116.17</v>
      </c>
      <c r="L186" s="533">
        <f t="shared" ref="L186" si="120">(N186-I186)*G186</f>
        <v>-788.52000000000089</v>
      </c>
      <c r="M186" s="117">
        <f t="shared" ref="M186:M187" si="121">L186/J186</f>
        <v>-0.18284436941741739</v>
      </c>
      <c r="N186" s="173">
        <v>176.2</v>
      </c>
      <c r="O186" s="224">
        <v>44496</v>
      </c>
      <c r="P186" s="224">
        <v>44581</v>
      </c>
      <c r="Q186" s="238">
        <f>Table2[[#This Row],[Close Date]]-Table2[[#This Row],[Open Date]]</f>
        <v>85</v>
      </c>
      <c r="R186" s="178"/>
      <c r="T186" s="54"/>
      <c r="U186" s="134"/>
      <c r="V186" s="135"/>
    </row>
    <row r="187" spans="2:22" x14ac:dyDescent="0.25">
      <c r="B187" s="221">
        <v>153</v>
      </c>
      <c r="C187" s="69" t="e" vm="55">
        <v>#VALUE!</v>
      </c>
      <c r="D187" s="69" t="s">
        <v>67</v>
      </c>
      <c r="E187" s="116" t="s">
        <v>12</v>
      </c>
      <c r="F187" s="173">
        <v>17.5</v>
      </c>
      <c r="G187" s="188">
        <v>200</v>
      </c>
      <c r="H187" s="173">
        <v>3.9870129870129869</v>
      </c>
      <c r="I187" s="173">
        <f>((F187*G187)+H187*7.8)/G187</f>
        <v>17.655493506493507</v>
      </c>
      <c r="J187" s="245">
        <f>I187*G187/7.8</f>
        <v>452.7049617049617</v>
      </c>
      <c r="K187" s="173" cm="1">
        <f t="array" ref="K187">_FV(Table2[[#This Row],[Stock Name]],"Price")</f>
        <v>14.12</v>
      </c>
      <c r="L187" s="533">
        <f>(N187-I187)*G187/7.8</f>
        <v>-452.7049617049617</v>
      </c>
      <c r="M187" s="117">
        <f t="shared" si="121"/>
        <v>-1</v>
      </c>
      <c r="N187" s="173">
        <v>0</v>
      </c>
      <c r="O187" s="224">
        <v>44588</v>
      </c>
      <c r="P187" s="224">
        <v>0</v>
      </c>
      <c r="Q187" s="238">
        <f>Table2[[#This Row],[Close Date]]-Table2[[#This Row],[Open Date]]</f>
        <v>-44588</v>
      </c>
      <c r="R187" s="178"/>
      <c r="T187" s="54"/>
      <c r="U187" s="134"/>
      <c r="V187" s="135"/>
    </row>
    <row r="188" spans="2:22" x14ac:dyDescent="0.25">
      <c r="B188" s="222"/>
      <c r="C188" s="65"/>
      <c r="D188" s="65"/>
      <c r="E188" s="115"/>
      <c r="F188" s="66"/>
      <c r="G188" s="189"/>
      <c r="H188" s="66"/>
      <c r="I188" s="66"/>
      <c r="J188" s="246"/>
      <c r="K188" s="66"/>
      <c r="L188" s="67"/>
      <c r="M188" s="72"/>
      <c r="N188" s="174"/>
      <c r="O188" s="510"/>
      <c r="P188" s="510"/>
      <c r="Q188" s="511"/>
      <c r="R188" s="178"/>
      <c r="T188" s="54"/>
      <c r="U188" s="134"/>
      <c r="V188" s="135"/>
    </row>
    <row r="189" spans="2:22" x14ac:dyDescent="0.25">
      <c r="B189" s="222"/>
      <c r="C189" s="65"/>
      <c r="D189" s="65"/>
      <c r="E189" s="115"/>
      <c r="F189" s="66"/>
      <c r="G189" s="189"/>
      <c r="H189" s="66"/>
      <c r="I189" s="66"/>
      <c r="J189" s="246"/>
      <c r="K189" s="66"/>
      <c r="L189" s="67"/>
      <c r="M189" s="72"/>
      <c r="N189" s="174"/>
      <c r="O189" s="510"/>
      <c r="P189" s="510"/>
      <c r="Q189" s="511"/>
      <c r="R189" s="178"/>
      <c r="T189" s="54"/>
      <c r="U189" s="134"/>
      <c r="V189" s="135"/>
    </row>
    <row r="190" spans="2:22" x14ac:dyDescent="0.25">
      <c r="B190" s="222"/>
      <c r="C190" s="65"/>
      <c r="D190" s="65"/>
      <c r="E190" s="115"/>
      <c r="F190" s="66"/>
      <c r="G190" s="189"/>
      <c r="H190" s="66"/>
      <c r="I190" s="66"/>
      <c r="J190" s="246"/>
      <c r="K190" s="66"/>
      <c r="L190" s="67"/>
      <c r="M190" s="72"/>
      <c r="N190" s="174"/>
      <c r="O190" s="510"/>
      <c r="P190" s="510"/>
      <c r="Q190" s="511"/>
      <c r="R190" s="178"/>
      <c r="T190" s="54"/>
      <c r="U190" s="134"/>
      <c r="V190" s="135"/>
    </row>
    <row r="191" spans="2:22" x14ac:dyDescent="0.25">
      <c r="B191" s="222"/>
      <c r="C191" s="65"/>
      <c r="D191" s="65"/>
      <c r="E191" s="115"/>
      <c r="F191" s="66"/>
      <c r="G191" s="189"/>
      <c r="H191" s="66"/>
      <c r="I191" s="66"/>
      <c r="J191" s="246"/>
      <c r="K191" s="66"/>
      <c r="L191" s="67"/>
      <c r="M191" s="72"/>
      <c r="N191" s="174"/>
      <c r="O191" s="510"/>
      <c r="P191" s="510"/>
      <c r="Q191" s="511"/>
      <c r="R191" s="178"/>
      <c r="T191" s="54"/>
      <c r="U191" s="134"/>
      <c r="V191" s="135"/>
    </row>
    <row r="192" spans="2:22" x14ac:dyDescent="0.25">
      <c r="B192" s="222"/>
      <c r="C192" s="65"/>
      <c r="D192" s="65"/>
      <c r="E192" s="115"/>
      <c r="F192" s="66"/>
      <c r="G192" s="189"/>
      <c r="H192" s="66"/>
      <c r="I192" s="66"/>
      <c r="J192" s="246"/>
      <c r="K192" s="66"/>
      <c r="L192" s="67"/>
      <c r="M192" s="72"/>
      <c r="N192" s="174"/>
      <c r="O192" s="510"/>
      <c r="P192" s="510"/>
      <c r="Q192" s="511"/>
      <c r="R192" s="178"/>
      <c r="T192" s="54"/>
      <c r="U192" s="134"/>
      <c r="V192" s="135"/>
    </row>
    <row r="193" spans="2:23" x14ac:dyDescent="0.25">
      <c r="B193" s="222"/>
      <c r="C193" s="65"/>
      <c r="D193" s="65"/>
      <c r="E193" s="115"/>
      <c r="F193" s="66"/>
      <c r="G193" s="189"/>
      <c r="H193" s="66"/>
      <c r="I193" s="66"/>
      <c r="J193" s="246"/>
      <c r="K193" s="66"/>
      <c r="L193" s="67"/>
      <c r="M193" s="72"/>
      <c r="N193" s="174"/>
      <c r="O193" s="510"/>
      <c r="P193" s="510"/>
      <c r="Q193" s="511"/>
      <c r="R193" s="178"/>
      <c r="T193" s="54"/>
      <c r="U193" s="134"/>
      <c r="V193" s="135"/>
    </row>
    <row r="194" spans="2:23" x14ac:dyDescent="0.25">
      <c r="B194" s="222"/>
      <c r="C194" s="65"/>
      <c r="D194" s="65"/>
      <c r="E194" s="115"/>
      <c r="F194" s="66"/>
      <c r="G194" s="189"/>
      <c r="H194" s="66"/>
      <c r="I194" s="66"/>
      <c r="J194" s="246"/>
      <c r="K194" s="66"/>
      <c r="L194" s="67"/>
      <c r="M194" s="72"/>
      <c r="N194" s="174"/>
      <c r="O194" s="510"/>
      <c r="P194" s="510"/>
      <c r="Q194" s="511"/>
      <c r="R194" s="178"/>
      <c r="T194" s="54"/>
      <c r="U194" s="134"/>
      <c r="V194" s="135"/>
    </row>
    <row r="195" spans="2:23" x14ac:dyDescent="0.25">
      <c r="B195" s="222"/>
      <c r="C195" s="65"/>
      <c r="D195" s="65"/>
      <c r="E195" s="115"/>
      <c r="F195" s="66"/>
      <c r="G195" s="189"/>
      <c r="H195" s="66"/>
      <c r="I195" s="66"/>
      <c r="J195" s="246"/>
      <c r="K195" s="66"/>
      <c r="L195" s="67"/>
      <c r="M195" s="72"/>
      <c r="N195" s="174"/>
      <c r="O195" s="510"/>
      <c r="P195" s="510"/>
      <c r="Q195" s="511"/>
      <c r="R195" s="178"/>
      <c r="T195" s="54"/>
      <c r="U195" s="134"/>
      <c r="V195" s="135"/>
    </row>
    <row r="196" spans="2:23" x14ac:dyDescent="0.25">
      <c r="B196" s="222"/>
      <c r="C196" s="65"/>
      <c r="D196" s="65"/>
      <c r="E196" s="115"/>
      <c r="F196" s="66"/>
      <c r="G196" s="189"/>
      <c r="H196" s="66"/>
      <c r="I196" s="66"/>
      <c r="J196" s="246"/>
      <c r="K196" s="66"/>
      <c r="L196" s="67"/>
      <c r="M196" s="72"/>
      <c r="N196" s="174"/>
      <c r="O196" s="510"/>
      <c r="P196" s="510"/>
      <c r="Q196" s="511"/>
      <c r="R196" s="178"/>
      <c r="T196" s="54"/>
      <c r="U196" s="134"/>
      <c r="V196" s="135"/>
    </row>
    <row r="197" spans="2:23" x14ac:dyDescent="0.25">
      <c r="B197" s="222"/>
      <c r="C197" s="65"/>
      <c r="D197" s="65"/>
      <c r="E197" s="115"/>
      <c r="F197" s="66"/>
      <c r="G197" s="189"/>
      <c r="H197" s="66"/>
      <c r="I197" s="66"/>
      <c r="J197" s="246"/>
      <c r="K197" s="66"/>
      <c r="L197" s="67"/>
      <c r="M197" s="72"/>
      <c r="N197" s="174"/>
      <c r="O197" s="510"/>
      <c r="P197" s="510"/>
      <c r="Q197" s="511"/>
      <c r="R197" s="178"/>
      <c r="T197" s="54"/>
      <c r="U197" s="134"/>
      <c r="V197" s="135"/>
    </row>
    <row r="198" spans="2:23" x14ac:dyDescent="0.25">
      <c r="B198" s="222"/>
      <c r="C198" s="65"/>
      <c r="D198" s="65"/>
      <c r="E198" s="115"/>
      <c r="F198" s="66"/>
      <c r="G198" s="189"/>
      <c r="H198" s="66"/>
      <c r="I198" s="66"/>
      <c r="J198" s="246"/>
      <c r="K198" s="66"/>
      <c r="L198" s="67"/>
      <c r="M198" s="72"/>
      <c r="N198" s="174"/>
      <c r="O198" s="510"/>
      <c r="P198" s="510"/>
      <c r="Q198" s="511"/>
      <c r="R198" s="178"/>
      <c r="T198" s="54"/>
      <c r="U198" s="134"/>
      <c r="V198" s="135"/>
    </row>
    <row r="199" spans="2:23" x14ac:dyDescent="0.25">
      <c r="B199" s="222"/>
      <c r="C199" s="65"/>
      <c r="D199" s="65"/>
      <c r="E199" s="115"/>
      <c r="F199" s="66"/>
      <c r="G199" s="189"/>
      <c r="H199" s="66"/>
      <c r="I199" s="66"/>
      <c r="J199" s="246"/>
      <c r="K199" s="66"/>
      <c r="L199" s="67"/>
      <c r="M199" s="72"/>
      <c r="N199" s="174"/>
      <c r="O199" s="510"/>
      <c r="P199" s="510"/>
      <c r="Q199" s="511"/>
      <c r="R199" s="178"/>
      <c r="T199" s="54"/>
      <c r="U199" s="134"/>
      <c r="V199" s="135"/>
    </row>
    <row r="200" spans="2:23" x14ac:dyDescent="0.25">
      <c r="B200" s="222"/>
      <c r="C200" s="65"/>
      <c r="D200" s="65"/>
      <c r="E200" s="115"/>
      <c r="F200" s="66"/>
      <c r="G200" s="189"/>
      <c r="H200" s="66"/>
      <c r="I200" s="66"/>
      <c r="J200" s="246"/>
      <c r="K200" s="66"/>
      <c r="L200" s="67"/>
      <c r="M200" s="72"/>
      <c r="N200" s="174"/>
      <c r="O200" s="510"/>
      <c r="P200" s="510"/>
      <c r="Q200" s="511"/>
      <c r="R200" s="178"/>
      <c r="T200" s="54"/>
      <c r="U200" s="134"/>
      <c r="V200" s="135"/>
    </row>
    <row r="201" spans="2:23" x14ac:dyDescent="0.25">
      <c r="B201" s="222"/>
      <c r="C201" s="65"/>
      <c r="D201" s="65"/>
      <c r="E201" s="115"/>
      <c r="F201" s="66"/>
      <c r="G201" s="189"/>
      <c r="H201" s="66"/>
      <c r="I201" s="66"/>
      <c r="J201" s="246"/>
      <c r="K201" s="66"/>
      <c r="L201" s="67"/>
      <c r="M201" s="72"/>
      <c r="N201" s="174"/>
      <c r="O201" s="510"/>
      <c r="P201" s="510"/>
      <c r="Q201" s="511"/>
      <c r="R201" s="178"/>
      <c r="T201" s="54"/>
      <c r="U201" s="134"/>
      <c r="V201" s="135"/>
    </row>
    <row r="202" spans="2:23" x14ac:dyDescent="0.25">
      <c r="B202" s="222"/>
      <c r="C202" s="65"/>
      <c r="D202" s="65"/>
      <c r="E202" s="115"/>
      <c r="F202" s="66"/>
      <c r="G202" s="189"/>
      <c r="H202" s="66"/>
      <c r="I202" s="66"/>
      <c r="J202" s="246"/>
      <c r="K202" s="66"/>
      <c r="L202" s="67"/>
      <c r="M202" s="72"/>
      <c r="N202" s="174"/>
      <c r="O202" s="510"/>
      <c r="P202" s="510"/>
      <c r="Q202" s="511"/>
      <c r="R202" s="178"/>
      <c r="T202" s="54"/>
      <c r="U202" s="134"/>
      <c r="V202" s="135"/>
    </row>
    <row r="203" spans="2:23" s="43" customFormat="1" x14ac:dyDescent="0.25">
      <c r="B203" s="215"/>
      <c r="C203" s="161"/>
      <c r="D203" s="161"/>
      <c r="E203" s="240"/>
      <c r="F203" s="216"/>
      <c r="G203" s="217"/>
      <c r="H203" s="216"/>
      <c r="I203" s="216"/>
      <c r="J203" s="242"/>
      <c r="K203" s="216"/>
      <c r="L203" s="218"/>
      <c r="M203" s="219"/>
      <c r="N203" s="232"/>
      <c r="O203" s="233"/>
      <c r="P203" s="233"/>
      <c r="Q203" s="233"/>
      <c r="R203" s="178"/>
      <c r="T203" s="91"/>
      <c r="U203" s="179"/>
      <c r="V203" s="180"/>
    </row>
    <row r="204" spans="2:23" s="43" customFormat="1" x14ac:dyDescent="0.25">
      <c r="B204" s="265"/>
      <c r="C204" s="266"/>
      <c r="D204" s="266"/>
      <c r="E204" s="265"/>
      <c r="F204" s="275"/>
      <c r="G204" s="276"/>
      <c r="H204" s="276">
        <f>SUM(H30:H69,(H70+H71+H110)/7.7,H72:H109:H111:H203)</f>
        <v>2409.9515840244831</v>
      </c>
      <c r="I204" s="276"/>
      <c r="J204" s="276"/>
      <c r="K204" s="276"/>
      <c r="L204" s="276">
        <f>SUBTOTAL(109,Table2[Gain/Loss])</f>
        <v>7685.5950649570641</v>
      </c>
      <c r="M204" s="277"/>
      <c r="N204" s="274"/>
      <c r="O204" s="273"/>
      <c r="P204" s="273"/>
      <c r="Q204" s="273"/>
      <c r="R204" s="178"/>
      <c r="T204" s="91"/>
      <c r="U204" s="179"/>
      <c r="V204" s="180"/>
    </row>
    <row r="205" spans="2:23" s="43" customFormat="1" x14ac:dyDescent="0.25">
      <c r="B205" s="265"/>
      <c r="C205" s="266"/>
      <c r="D205" s="266"/>
      <c r="E205" s="265"/>
      <c r="F205" s="267"/>
      <c r="G205" s="268"/>
      <c r="H205" s="272">
        <f>Table2[[#Totals],[Fee]]/(Table2[[#Totals],[Fee]]+Table2[[#Totals],[Gain/Loss]])</f>
        <v>0.23871432303941681</v>
      </c>
      <c r="I205" s="267"/>
      <c r="J205" s="269"/>
      <c r="K205" s="267"/>
      <c r="L205" s="272">
        <f>Table2[[#Totals],[Gain/Loss]]/(Table2[[#Totals],[Fee]]+Table2[[#Totals],[Gain/Loss]])</f>
        <v>0.76128567696058314</v>
      </c>
      <c r="M205" s="270"/>
      <c r="N205" s="271"/>
      <c r="O205" s="273"/>
      <c r="P205" s="273"/>
      <c r="Q205" s="273"/>
      <c r="R205" s="178"/>
      <c r="T205" s="91"/>
      <c r="U205" s="179"/>
      <c r="V205" s="180"/>
    </row>
    <row r="206" spans="2:23" s="43" customFormat="1" x14ac:dyDescent="0.25">
      <c r="B206" s="169"/>
      <c r="C206" s="91"/>
      <c r="D206" s="91"/>
      <c r="E206" s="169"/>
      <c r="F206" s="93"/>
      <c r="G206" s="202"/>
      <c r="H206" s="93"/>
      <c r="I206" s="93"/>
      <c r="J206" s="243"/>
      <c r="K206" s="93"/>
      <c r="L206" s="94"/>
      <c r="M206" s="170"/>
      <c r="N206" s="235"/>
      <c r="O206" s="172"/>
      <c r="P206" s="172"/>
      <c r="Q206" s="172"/>
      <c r="R206" s="178"/>
      <c r="T206" s="91"/>
      <c r="U206" s="179"/>
      <c r="V206" s="180"/>
    </row>
    <row r="207" spans="2:23" s="91" customFormat="1" x14ac:dyDescent="0.25">
      <c r="B207" s="169"/>
      <c r="F207" s="93"/>
      <c r="G207" s="202"/>
      <c r="H207" s="93"/>
      <c r="I207" s="93"/>
      <c r="J207" s="93"/>
      <c r="K207" s="93"/>
      <c r="L207" s="93"/>
      <c r="M207" s="170"/>
      <c r="N207" s="235"/>
      <c r="O207" s="171"/>
      <c r="P207" s="172"/>
      <c r="Q207" s="172"/>
      <c r="R207" s="172"/>
      <c r="S207" s="236"/>
      <c r="V207" s="179"/>
      <c r="W207" s="180"/>
    </row>
    <row r="208" spans="2:23" s="54" customFormat="1" x14ac:dyDescent="0.25">
      <c r="B208" s="575" t="s">
        <v>82</v>
      </c>
      <c r="C208" s="575"/>
      <c r="D208" s="91"/>
      <c r="E208" s="91"/>
      <c r="F208" s="93"/>
      <c r="G208" s="202"/>
      <c r="H208" s="93"/>
      <c r="I208" s="93"/>
      <c r="J208" s="93"/>
      <c r="K208" s="93"/>
      <c r="L208" s="94"/>
      <c r="M208" s="95"/>
      <c r="N208" s="93"/>
      <c r="O208" s="171"/>
      <c r="P208" s="172"/>
      <c r="Q208" s="91"/>
      <c r="R208" s="234"/>
      <c r="S208" s="234"/>
      <c r="T208" s="91"/>
      <c r="V208" s="134"/>
      <c r="W208" s="135"/>
    </row>
    <row r="209" spans="2:25" x14ac:dyDescent="0.25">
      <c r="B209" s="226" t="s">
        <v>50</v>
      </c>
      <c r="C209" s="227" t="s">
        <v>0</v>
      </c>
      <c r="D209" s="227" t="s">
        <v>140</v>
      </c>
      <c r="E209" s="228" t="s">
        <v>1</v>
      </c>
      <c r="F209" s="228" t="s">
        <v>11</v>
      </c>
      <c r="G209" s="228" t="s">
        <v>2</v>
      </c>
      <c r="H209" s="228" t="s">
        <v>3</v>
      </c>
      <c r="I209" s="228" t="s">
        <v>4</v>
      </c>
      <c r="J209" s="228" t="s">
        <v>6</v>
      </c>
      <c r="K209" s="228" t="s">
        <v>83</v>
      </c>
      <c r="L209" s="228" t="s">
        <v>8</v>
      </c>
      <c r="M209" s="228" t="s">
        <v>115</v>
      </c>
      <c r="N209" s="228" t="s">
        <v>77</v>
      </c>
      <c r="O209" s="228" t="s">
        <v>316</v>
      </c>
      <c r="P209" s="228" t="s">
        <v>414</v>
      </c>
      <c r="Q209" s="228" t="s">
        <v>78</v>
      </c>
      <c r="R209" s="228" t="s">
        <v>54</v>
      </c>
      <c r="S209" s="228" t="s">
        <v>55</v>
      </c>
      <c r="T209" s="230" t="s">
        <v>75</v>
      </c>
      <c r="U209" s="231" t="s">
        <v>49</v>
      </c>
      <c r="V209" s="247" t="s">
        <v>80</v>
      </c>
      <c r="X209" s="134"/>
      <c r="Y209" s="131"/>
    </row>
    <row r="210" spans="2:25" x14ac:dyDescent="0.25">
      <c r="B210" s="213">
        <v>1</v>
      </c>
      <c r="C210" s="78" t="e" vm="55">
        <v>#VALUE!</v>
      </c>
      <c r="D210" s="78" t="s">
        <v>37</v>
      </c>
      <c r="E210" s="142" t="s">
        <v>67</v>
      </c>
      <c r="F210" s="118" t="s">
        <v>12</v>
      </c>
      <c r="G210" s="81">
        <v>22.5</v>
      </c>
      <c r="H210" s="190">
        <v>600</v>
      </c>
      <c r="I210" s="81">
        <f>0.25%*Table1[[#This Row],[Buy Price]]*Table1[[#This Row],[Quantity]]*2/7.8</f>
        <v>8.6538461538461533</v>
      </c>
      <c r="J210" s="362">
        <f>((G210*H210)+I210*7.8)/H210</f>
        <v>22.612500000000001</v>
      </c>
      <c r="K210" s="241">
        <f>J210*H210/7.8</f>
        <v>1739.4230769230769</v>
      </c>
      <c r="L210" s="81" cm="1">
        <f t="array" ref="L210">_FV(C210,"Price")</f>
        <v>14.12</v>
      </c>
      <c r="M210" s="76">
        <f>(L210-J210)*H210/7.8</f>
        <v>-653.26923076923094</v>
      </c>
      <c r="N210" s="261">
        <f t="shared" ref="N210" si="122">M210/K210</f>
        <v>-0.37556661138750702</v>
      </c>
      <c r="O210" s="362">
        <v>26.4</v>
      </c>
      <c r="P210" s="362">
        <v>11.7</v>
      </c>
      <c r="Q210" s="175">
        <v>26</v>
      </c>
      <c r="R210" s="136">
        <f>Q210/J210-1</f>
        <v>0.14980652294085117</v>
      </c>
      <c r="S210" s="263">
        <v>44455</v>
      </c>
      <c r="T210" s="212">
        <f>K210/$K$225</f>
        <v>2.7529278231996159E-2</v>
      </c>
      <c r="U210" s="214">
        <f>K210/$D$3</f>
        <v>5.842314207026137E-2</v>
      </c>
      <c r="V210" s="200">
        <f ca="1">TODAY()-Table1[[#This Row],[Open Date]]+1</f>
        <v>195</v>
      </c>
    </row>
    <row r="211" spans="2:25" x14ac:dyDescent="0.25">
      <c r="B211" s="213"/>
      <c r="C211" s="78"/>
      <c r="D211" s="78"/>
      <c r="E211" s="78"/>
      <c r="F211" s="118"/>
      <c r="G211" s="81"/>
      <c r="H211" s="190"/>
      <c r="I211" s="81"/>
      <c r="J211" s="362"/>
      <c r="K211" s="241"/>
      <c r="L211" s="81"/>
      <c r="M211" s="76"/>
      <c r="N211" s="80"/>
      <c r="O211" s="77">
        <f>(O210-L210)/L210</f>
        <v>0.86968838526912184</v>
      </c>
      <c r="P211" s="77">
        <f>(P210-L210)/L210</f>
        <v>-0.17138810198300283</v>
      </c>
      <c r="Q211" s="175"/>
      <c r="R211" s="478">
        <f>(Q210-L210)/L210</f>
        <v>0.8413597733711049</v>
      </c>
      <c r="S211" s="477"/>
      <c r="T211" s="212"/>
      <c r="U211" s="212"/>
      <c r="V211" s="200"/>
    </row>
    <row r="212" spans="2:25" x14ac:dyDescent="0.25">
      <c r="B212" s="213">
        <v>2</v>
      </c>
      <c r="C212" s="78" t="e" vm="29">
        <v>#VALUE!</v>
      </c>
      <c r="D212" s="142" t="s">
        <v>38</v>
      </c>
      <c r="E212" s="78" t="s">
        <v>10</v>
      </c>
      <c r="F212" s="118" t="s">
        <v>13</v>
      </c>
      <c r="G212" s="81">
        <f>F275</f>
        <v>36</v>
      </c>
      <c r="H212" s="190">
        <f>G275</f>
        <v>200</v>
      </c>
      <c r="I212" s="81">
        <f>H275</f>
        <v>12.52</v>
      </c>
      <c r="J212" s="362">
        <f t="shared" ref="J212" si="123">((G212*H212)+I212)/H212</f>
        <v>36.062600000000003</v>
      </c>
      <c r="K212" s="241">
        <f t="shared" ref="K212" si="124">J212*H212</f>
        <v>7212.52</v>
      </c>
      <c r="L212" s="81" cm="1">
        <f t="array" ref="L212">_FV(C212,"Price")</f>
        <v>21.21</v>
      </c>
      <c r="M212" s="76">
        <f t="shared" ref="M212" si="125">(L212-J212)*H212</f>
        <v>-2970.5200000000004</v>
      </c>
      <c r="N212" s="261">
        <f t="shared" ref="N212" si="126">M212/K212</f>
        <v>-0.41185605031251216</v>
      </c>
      <c r="O212" s="362">
        <v>65.900000000000006</v>
      </c>
      <c r="P212" s="362">
        <v>45</v>
      </c>
      <c r="Q212" s="175">
        <f ca="1">ROUNDUP((Table1[[#This Row],[Average Price]]+(50*Table1[[#This Row],[Holding Days]])/Table1[[#This Row],[Quantity]]),0)</f>
        <v>67</v>
      </c>
      <c r="R212" s="136">
        <f ca="1">Q212/J212-1</f>
        <v>0.85788046341639235</v>
      </c>
      <c r="S212" s="263">
        <v>44530</v>
      </c>
      <c r="T212" s="212">
        <f>K212/$K$225</f>
        <v>0.11415018719026558</v>
      </c>
      <c r="U212" s="214">
        <f>K212/$D$3</f>
        <v>0.24225163287472948</v>
      </c>
      <c r="V212" s="200">
        <f ca="1">TODAY()-Table1[[#This Row],[Open Date]]+1</f>
        <v>120</v>
      </c>
    </row>
    <row r="213" spans="2:25" x14ac:dyDescent="0.25">
      <c r="B213" s="213"/>
      <c r="C213" s="78"/>
      <c r="D213" s="78"/>
      <c r="E213" s="78"/>
      <c r="F213" s="118"/>
      <c r="G213" s="81"/>
      <c r="H213" s="512"/>
      <c r="I213" s="81"/>
      <c r="J213" s="362"/>
      <c r="K213" s="241"/>
      <c r="L213" s="81"/>
      <c r="M213" s="76"/>
      <c r="N213" s="80"/>
      <c r="O213" s="77"/>
      <c r="P213" s="77"/>
      <c r="Q213" s="175"/>
      <c r="R213" s="478"/>
      <c r="S213" s="477"/>
      <c r="T213" s="212"/>
      <c r="U213" s="212"/>
      <c r="V213" s="200"/>
    </row>
    <row r="214" spans="2:25" x14ac:dyDescent="0.25">
      <c r="B214" s="213">
        <v>3</v>
      </c>
      <c r="C214" s="78" t="e" vm="52">
        <v>#VALUE!</v>
      </c>
      <c r="D214" s="78" t="s">
        <v>37</v>
      </c>
      <c r="E214" s="142" t="s">
        <v>67</v>
      </c>
      <c r="F214" s="118" t="s">
        <v>12</v>
      </c>
      <c r="G214" s="81">
        <f>(160+131)/2</f>
        <v>145.5</v>
      </c>
      <c r="H214" s="190">
        <v>100</v>
      </c>
      <c r="I214" s="81">
        <f>0.25%*Table1[[#This Row],[Buy Price]]*Table1[[#This Row],[Quantity]]*3/7.8</f>
        <v>13.990384615384615</v>
      </c>
      <c r="J214" s="362">
        <f>((G214*H214)+I214*7.8)/H214</f>
        <v>146.59125</v>
      </c>
      <c r="K214" s="241">
        <f>J214*H214/7.8</f>
        <v>1879.375</v>
      </c>
      <c r="L214" s="81" cm="1">
        <f t="array" ref="L214">_FV(C214,"Price")</f>
        <v>113.5</v>
      </c>
      <c r="M214" s="76">
        <f>(L214-J214)*H214/7.8</f>
        <v>-424.24679487179486</v>
      </c>
      <c r="N214" s="261">
        <f t="shared" ref="N214" si="127">M214/K214</f>
        <v>-0.2257382347172836</v>
      </c>
      <c r="O214" s="362">
        <v>245</v>
      </c>
      <c r="P214" s="362">
        <v>190</v>
      </c>
      <c r="Q214" s="175">
        <v>180</v>
      </c>
      <c r="R214" s="136">
        <f>Q214/J214-1</f>
        <v>0.22790412115320668</v>
      </c>
      <c r="S214" s="263">
        <v>44512</v>
      </c>
      <c r="T214" s="212">
        <f>K214/$K$225</f>
        <v>2.9744251392121668E-2</v>
      </c>
      <c r="U214" s="214">
        <f>K214/$D$3</f>
        <v>6.3123798968175437E-2</v>
      </c>
      <c r="V214" s="200">
        <f ca="1">TODAY()-Table1[[#This Row],[Open Date]]+1</f>
        <v>138</v>
      </c>
    </row>
    <row r="215" spans="2:25" x14ac:dyDescent="0.25">
      <c r="B215" s="213"/>
      <c r="C215" s="78"/>
      <c r="D215" s="78"/>
      <c r="E215" s="78"/>
      <c r="F215" s="118"/>
      <c r="G215" s="81"/>
      <c r="H215" s="190"/>
      <c r="I215" s="81"/>
      <c r="J215" s="362"/>
      <c r="K215" s="241"/>
      <c r="L215" s="81"/>
      <c r="M215" s="76"/>
      <c r="N215" s="80"/>
      <c r="O215" s="77">
        <f>(O214-L214)/L214</f>
        <v>1.158590308370044</v>
      </c>
      <c r="P215" s="77">
        <f>(P214-L214)/L214</f>
        <v>0.67400881057268724</v>
      </c>
      <c r="Q215" s="175"/>
      <c r="R215" s="478">
        <f>(Q214-L214)/L214</f>
        <v>0.58590308370044053</v>
      </c>
      <c r="S215" s="477"/>
      <c r="T215" s="212"/>
      <c r="U215" s="212"/>
      <c r="V215" s="200"/>
    </row>
    <row r="216" spans="2:25" x14ac:dyDescent="0.25">
      <c r="B216" s="213">
        <v>4</v>
      </c>
      <c r="C216" s="78" t="e" vm="44">
        <v>#VALUE!</v>
      </c>
      <c r="D216" s="142" t="s">
        <v>37</v>
      </c>
      <c r="E216" s="78" t="s">
        <v>10</v>
      </c>
      <c r="F216" s="118" t="s">
        <v>13</v>
      </c>
      <c r="G216" s="81">
        <f>(3060*1+2968*10)/11</f>
        <v>2976.3636363636365</v>
      </c>
      <c r="H216" s="190">
        <v>11</v>
      </c>
      <c r="I216" s="81">
        <f>2.88*3+1</f>
        <v>9.64</v>
      </c>
      <c r="J216" s="362">
        <f t="shared" ref="J216" si="128">((G216*H216)+I216)/H216</f>
        <v>2977.24</v>
      </c>
      <c r="K216" s="241">
        <f t="shared" ref="K216" si="129">J216*H216</f>
        <v>32749.64</v>
      </c>
      <c r="L216" s="81" cm="1">
        <f t="array" ref="L216">_FV(C216,"Price")</f>
        <v>3379.81</v>
      </c>
      <c r="M216" s="76">
        <f t="shared" ref="M216" si="130">(L216-J216)*H216</f>
        <v>4428.2700000000023</v>
      </c>
      <c r="N216" s="261">
        <f t="shared" ref="N216" si="131">M216/K216</f>
        <v>0.13521583748706864</v>
      </c>
      <c r="O216" s="362">
        <v>4202</v>
      </c>
      <c r="P216" s="362">
        <v>3800</v>
      </c>
      <c r="Q216" s="175">
        <f>ROUNDUP((Table1[[#This Row],[Average Price]]+-('Day Trade'!Q116+'Day Trade'!Q118)/Table1[[#This Row],[Quantity]]),0)</f>
        <v>3078</v>
      </c>
      <c r="R216" s="136">
        <f>Q216/J216-1</f>
        <v>3.384342545444774E-2</v>
      </c>
      <c r="S216" s="263">
        <v>44582</v>
      </c>
      <c r="T216" s="212">
        <f>K216/$K$225</f>
        <v>0.51831780520730741</v>
      </c>
      <c r="U216" s="214">
        <f>K216/$D$3</f>
        <v>1.0999836071247713</v>
      </c>
      <c r="V216" s="200">
        <f ca="1">TODAY()-Table1[[#This Row],[Open Date]]+1</f>
        <v>68</v>
      </c>
    </row>
    <row r="217" spans="2:25" x14ac:dyDescent="0.25">
      <c r="B217" s="213"/>
      <c r="C217" s="78"/>
      <c r="D217" s="78"/>
      <c r="E217" s="78"/>
      <c r="F217" s="118"/>
      <c r="G217" s="81"/>
      <c r="H217" s="512"/>
      <c r="I217" s="81"/>
      <c r="J217" s="81"/>
      <c r="K217" s="241"/>
      <c r="L217" s="81"/>
      <c r="M217" s="76"/>
      <c r="N217" s="80"/>
      <c r="O217" s="77">
        <f>(O216-L216)/L216</f>
        <v>0.24326515395835863</v>
      </c>
      <c r="P217" s="77">
        <f>(P216-L216)/L216</f>
        <v>0.12432355664963417</v>
      </c>
      <c r="Q217" s="175"/>
      <c r="R217" s="478">
        <f>(Q216-L216)/L216</f>
        <v>-8.9297919113796323E-2</v>
      </c>
      <c r="S217" s="477"/>
      <c r="T217" s="212"/>
      <c r="U217" s="212"/>
      <c r="V217" s="200"/>
    </row>
    <row r="218" spans="2:25" x14ac:dyDescent="0.25">
      <c r="B218" s="213">
        <v>5</v>
      </c>
      <c r="C218" s="78" t="e" vm="53">
        <v>#VALUE!</v>
      </c>
      <c r="D218" s="142" t="s">
        <v>37</v>
      </c>
      <c r="E218" s="78" t="s">
        <v>10</v>
      </c>
      <c r="F218" s="118" t="s">
        <v>13</v>
      </c>
      <c r="G218" s="81">
        <v>2690</v>
      </c>
      <c r="H218" s="190">
        <v>1</v>
      </c>
      <c r="I218" s="81">
        <f>2.88*2+1</f>
        <v>6.76</v>
      </c>
      <c r="J218" s="362">
        <f t="shared" ref="J218" si="132">((G218*H218)+I218)/H218</f>
        <v>2696.76</v>
      </c>
      <c r="K218" s="241">
        <f t="shared" ref="K218" si="133">J218*H218</f>
        <v>2696.76</v>
      </c>
      <c r="L218" s="81" cm="1">
        <f t="array" ref="L218">_FV(C218,"Price")</f>
        <v>2839</v>
      </c>
      <c r="M218" s="76">
        <f t="shared" ref="M218" si="134">(L218-J218)*H218</f>
        <v>142.23999999999978</v>
      </c>
      <c r="N218" s="261">
        <f t="shared" ref="N218" si="135">M218/K218</f>
        <v>5.2744775211735477E-2</v>
      </c>
      <c r="O218" s="362">
        <v>3235</v>
      </c>
      <c r="P218" s="362">
        <v>3000</v>
      </c>
      <c r="Q218" s="175">
        <f>ROUNDUP((Table1[[#This Row],[Average Price]]+(-'Day Trade'!Q119)/Table1[[#This Row],[Quantity]]),0)</f>
        <v>2804</v>
      </c>
      <c r="R218" s="136">
        <f>Q218/J218-1</f>
        <v>3.9766238004123489E-2</v>
      </c>
      <c r="S218" s="263">
        <v>44582</v>
      </c>
      <c r="T218" s="212">
        <f>K218/$K$225</f>
        <v>4.2680735555287279E-2</v>
      </c>
      <c r="U218" s="214">
        <f>K218/$D$3</f>
        <v>9.0577844286221107E-2</v>
      </c>
      <c r="V218" s="200">
        <f ca="1">TODAY()-Table1[[#This Row],[Open Date]]+1</f>
        <v>68</v>
      </c>
    </row>
    <row r="219" spans="2:25" x14ac:dyDescent="0.25">
      <c r="B219" s="213"/>
      <c r="C219" s="78"/>
      <c r="D219" s="78"/>
      <c r="E219" s="78"/>
      <c r="F219" s="118"/>
      <c r="G219" s="81"/>
      <c r="H219" s="512"/>
      <c r="I219" s="81"/>
      <c r="J219" s="81"/>
      <c r="K219" s="241"/>
      <c r="L219" s="81"/>
      <c r="M219" s="76"/>
      <c r="N219" s="80"/>
      <c r="O219" s="77">
        <f>(O218-L218)/L218</f>
        <v>0.13948573441352588</v>
      </c>
      <c r="P219" s="77">
        <f>(P218-L218)/L218</f>
        <v>5.6710109193377947E-2</v>
      </c>
      <c r="Q219" s="175"/>
      <c r="R219" s="478">
        <f>(Q218-L218)/L218</f>
        <v>-1.2328284607256075E-2</v>
      </c>
      <c r="S219" s="477"/>
      <c r="T219" s="212"/>
      <c r="U219" s="212"/>
      <c r="V219" s="200"/>
    </row>
    <row r="220" spans="2:25" x14ac:dyDescent="0.25">
      <c r="B220" s="213">
        <v>6</v>
      </c>
      <c r="C220" s="78" t="e" vm="54">
        <v>#VALUE!</v>
      </c>
      <c r="D220" s="142" t="s">
        <v>37</v>
      </c>
      <c r="E220" s="78" t="s">
        <v>10</v>
      </c>
      <c r="F220" s="118" t="s">
        <v>13</v>
      </c>
      <c r="G220" s="81">
        <v>169</v>
      </c>
      <c r="H220" s="190">
        <v>100</v>
      </c>
      <c r="I220" s="81">
        <f>2.88*2+1</f>
        <v>6.76</v>
      </c>
      <c r="J220" s="362">
        <f t="shared" ref="J220" si="136">((G220*H220)+I220)/H220</f>
        <v>169.06759999999997</v>
      </c>
      <c r="K220" s="241">
        <f t="shared" ref="K220" si="137">J220*H220</f>
        <v>16906.759999999998</v>
      </c>
      <c r="L220" s="81" cm="1">
        <f t="array" ref="L220">_FV(C220,"Price")</f>
        <v>116.17</v>
      </c>
      <c r="M220" s="76">
        <f t="shared" ref="M220" si="138">(L220-J220)*H220</f>
        <v>-5289.7599999999966</v>
      </c>
      <c r="N220" s="261">
        <f t="shared" ref="N220" si="139">M220/K220</f>
        <v>-0.31287839893628328</v>
      </c>
      <c r="O220" s="362">
        <v>3235</v>
      </c>
      <c r="P220" s="362">
        <v>3000</v>
      </c>
      <c r="Q220" s="175">
        <f>ROUNDUP((Table1[[#This Row],[Average Price]]+(-'Day Trade'!Q121)/Table1[[#This Row],[Quantity]]),0)</f>
        <v>170</v>
      </c>
      <c r="R220" s="136">
        <f>Q220/J220-1</f>
        <v>5.514953781801113E-3</v>
      </c>
      <c r="S220" s="263">
        <v>44582</v>
      </c>
      <c r="T220" s="212">
        <f>K220/$K$225</f>
        <v>0.26757774242302196</v>
      </c>
      <c r="U220" s="214">
        <f>K220/$D$3</f>
        <v>0.56785842072135129</v>
      </c>
      <c r="V220" s="200">
        <f ca="1">TODAY()-Table1[[#This Row],[Open Date]]+1</f>
        <v>68</v>
      </c>
    </row>
    <row r="221" spans="2:25" x14ac:dyDescent="0.25">
      <c r="B221" s="213"/>
      <c r="C221" s="78"/>
      <c r="D221" s="78"/>
      <c r="E221" s="78"/>
      <c r="F221" s="118"/>
      <c r="G221" s="81"/>
      <c r="H221" s="512"/>
      <c r="I221" s="81"/>
      <c r="J221" s="81"/>
      <c r="K221" s="241"/>
      <c r="L221" s="81"/>
      <c r="M221" s="76"/>
      <c r="N221" s="80"/>
      <c r="O221" s="77">
        <f>(O220-L220)/L220</f>
        <v>26.847120599121975</v>
      </c>
      <c r="P221" s="77">
        <f>(P220-L220)/L220</f>
        <v>24.824223121287766</v>
      </c>
      <c r="Q221" s="175"/>
      <c r="R221" s="478">
        <f>(Q220-L220)/L220</f>
        <v>0.46337264353964014</v>
      </c>
      <c r="S221" s="477"/>
      <c r="T221" s="212"/>
      <c r="U221" s="212"/>
      <c r="V221" s="200"/>
    </row>
    <row r="222" spans="2:25" x14ac:dyDescent="0.25">
      <c r="B222" s="213"/>
      <c r="C222" s="78"/>
      <c r="D222" s="78"/>
      <c r="E222" s="78"/>
      <c r="F222" s="118"/>
      <c r="G222" s="81"/>
      <c r="H222" s="190"/>
      <c r="I222" s="81"/>
      <c r="J222" s="81"/>
      <c r="K222" s="241"/>
      <c r="L222" s="81"/>
      <c r="M222" s="76"/>
      <c r="N222" s="80"/>
      <c r="O222" s="362"/>
      <c r="P222" s="362"/>
      <c r="Q222" s="175"/>
      <c r="R222" s="136"/>
      <c r="S222" s="477"/>
      <c r="T222" s="212"/>
      <c r="U222" s="212"/>
      <c r="V222" s="200"/>
    </row>
    <row r="223" spans="2:25" x14ac:dyDescent="0.25">
      <c r="B223" s="213"/>
      <c r="C223" s="78"/>
      <c r="D223" s="78"/>
      <c r="E223" s="78"/>
      <c r="F223" s="118"/>
      <c r="G223" s="81"/>
      <c r="H223" s="190"/>
      <c r="I223" s="81"/>
      <c r="J223" s="81"/>
      <c r="K223" s="241"/>
      <c r="L223" s="81"/>
      <c r="M223" s="76"/>
      <c r="N223" s="77"/>
      <c r="O223" s="362"/>
      <c r="P223" s="362"/>
      <c r="Q223" s="175"/>
      <c r="R223" s="136"/>
      <c r="S223" s="263"/>
      <c r="T223" s="212"/>
      <c r="U223" s="214"/>
      <c r="V223" s="200"/>
    </row>
    <row r="224" spans="2:25" x14ac:dyDescent="0.25">
      <c r="B224" s="213"/>
      <c r="C224" s="78"/>
      <c r="D224" s="78"/>
      <c r="E224" s="78"/>
      <c r="F224" s="118"/>
      <c r="G224" s="81"/>
      <c r="H224" s="190"/>
      <c r="I224" s="81"/>
      <c r="J224" s="81"/>
      <c r="K224" s="241"/>
      <c r="L224" s="81"/>
      <c r="M224" s="76"/>
      <c r="N224" s="80"/>
      <c r="O224" s="362"/>
      <c r="P224" s="362"/>
      <c r="Q224" s="175"/>
      <c r="R224" s="136"/>
      <c r="S224" s="263"/>
      <c r="T224" s="212"/>
      <c r="U224" s="212"/>
      <c r="V224" s="200"/>
    </row>
    <row r="225" spans="2:22" x14ac:dyDescent="0.25">
      <c r="B225" s="89"/>
      <c r="C225" s="89"/>
      <c r="D225" s="89"/>
      <c r="E225" s="89"/>
      <c r="F225" s="89"/>
      <c r="G225" s="89"/>
      <c r="H225" s="264">
        <f>SUM(H210:H224)</f>
        <v>1012</v>
      </c>
      <c r="I225" s="264">
        <f>SUM(I210:I224)</f>
        <v>58.324230769230766</v>
      </c>
      <c r="J225" s="89"/>
      <c r="K225" s="264">
        <f>SUM(K210:K224)</f>
        <v>63184.478076923071</v>
      </c>
      <c r="L225" s="89"/>
      <c r="M225" s="264">
        <f>SUM(M210:M224)</f>
        <v>-4767.2860256410204</v>
      </c>
      <c r="N225" s="485">
        <f>M225/K225</f>
        <v>-7.5450271502395791E-2</v>
      </c>
      <c r="O225" s="534">
        <f>(+O212*H212+O214*H214+O216*H216)-K225</f>
        <v>20717.521923076929</v>
      </c>
      <c r="P225" s="534">
        <f>(+P212*H212+P214*H214+P216*H216)-K225</f>
        <v>6615.5219230769289</v>
      </c>
      <c r="Q225" s="538">
        <f ca="1">+K212*R212+R214*K214+R216*K216</f>
        <v>7724.1573076923059</v>
      </c>
      <c r="R225" s="89" t="s">
        <v>54</v>
      </c>
      <c r="S225" s="89"/>
      <c r="T225" s="452">
        <f>SUBTOTAL(109,Table1[Portfolio])</f>
        <v>1</v>
      </c>
      <c r="U225" s="452">
        <f>SUBTOTAL(109,Table1[Overall])</f>
        <v>2.12221844604551</v>
      </c>
    </row>
    <row r="226" spans="2:22" x14ac:dyDescent="0.25">
      <c r="B226" s="43"/>
      <c r="C226" s="43"/>
      <c r="D226" s="43"/>
      <c r="E226" s="43"/>
      <c r="F226" s="43"/>
      <c r="G226" s="43"/>
      <c r="H226" s="542"/>
      <c r="I226" s="542"/>
      <c r="J226" s="542"/>
      <c r="K226" s="542"/>
      <c r="L226" s="542"/>
      <c r="O226" s="289">
        <f ca="1">D13*360</f>
        <v>2338.8144068611332</v>
      </c>
      <c r="P226" s="262">
        <f ca="1">O226</f>
        <v>2338.8144068611332</v>
      </c>
      <c r="Q226" s="539">
        <f ca="1">D13</f>
        <v>6.4967066857253704</v>
      </c>
      <c r="R226" s="89" t="s">
        <v>213</v>
      </c>
      <c r="S226" s="89"/>
      <c r="T226" s="89"/>
    </row>
    <row r="227" spans="2:22" x14ac:dyDescent="0.25">
      <c r="B227" s="169"/>
      <c r="C227" s="91"/>
      <c r="D227" s="91"/>
      <c r="E227" s="91"/>
      <c r="F227" s="93"/>
      <c r="G227" s="202"/>
      <c r="H227" s="93"/>
      <c r="I227" s="93"/>
      <c r="J227" s="243"/>
      <c r="K227" s="93">
        <v>13.21</v>
      </c>
      <c r="L227" s="94">
        <v>20.59</v>
      </c>
      <c r="M227" s="170"/>
      <c r="N227" s="181"/>
      <c r="O227" s="537">
        <f ca="1">O225-O226</f>
        <v>18378.707516215796</v>
      </c>
      <c r="P227" s="537">
        <f ca="1">P225-P226</f>
        <v>4276.7075162157962</v>
      </c>
      <c r="Q227" s="540">
        <f ca="1">Q225-Q226</f>
        <v>7717.6606010065807</v>
      </c>
      <c r="R227" s="43" t="s">
        <v>214</v>
      </c>
      <c r="S227" s="74"/>
      <c r="T227" s="74"/>
    </row>
    <row r="228" spans="2:22" x14ac:dyDescent="0.25">
      <c r="J228" s="84"/>
      <c r="K228" s="83">
        <f>K227/L227*L228</f>
        <v>14.507582564351628</v>
      </c>
      <c r="L228" s="130">
        <f>J210</f>
        <v>22.612500000000001</v>
      </c>
      <c r="N228" s="43"/>
      <c r="O228" s="535">
        <f ca="1">O227/K225</f>
        <v>0.29087377273008241</v>
      </c>
      <c r="P228" s="535">
        <f ca="1">P227/K225</f>
        <v>6.768604642122987E-2</v>
      </c>
    </row>
    <row r="229" spans="2:22" x14ac:dyDescent="0.25">
      <c r="J229" s="84"/>
      <c r="K229" s="83"/>
      <c r="P229" s="182"/>
    </row>
    <row r="230" spans="2:22" x14ac:dyDescent="0.25">
      <c r="J230" s="84"/>
      <c r="K230" s="83"/>
      <c r="P230" s="182"/>
    </row>
    <row r="231" spans="2:22" x14ac:dyDescent="0.25">
      <c r="J231" s="84"/>
      <c r="K231" s="83"/>
      <c r="P231" s="182"/>
      <c r="U231" s="343">
        <v>0.65</v>
      </c>
      <c r="V231" s="39">
        <f>T231*U231</f>
        <v>0</v>
      </c>
    </row>
    <row r="232" spans="2:22" x14ac:dyDescent="0.25">
      <c r="O232" s="290"/>
      <c r="U232" s="343">
        <v>0.5</v>
      </c>
      <c r="V232" s="39">
        <f>T232*U232</f>
        <v>0</v>
      </c>
    </row>
    <row r="233" spans="2:22" x14ac:dyDescent="0.25">
      <c r="C233" s="43" t="e" vm="31">
        <v>#VALUE!</v>
      </c>
      <c r="D233" s="78" t="s">
        <v>10</v>
      </c>
      <c r="E233" s="78" t="s">
        <v>13</v>
      </c>
      <c r="F233" s="81">
        <v>48.8</v>
      </c>
      <c r="G233" s="241">
        <v>150</v>
      </c>
      <c r="H233" s="81">
        <f t="shared" ref="H233" si="140">8.88*2</f>
        <v>17.760000000000002</v>
      </c>
      <c r="I233" s="81">
        <f>((F233*G233)+H233)/G233</f>
        <v>48.918399999999998</v>
      </c>
      <c r="J233" s="81">
        <f>I233*G233</f>
        <v>7337.7599999999993</v>
      </c>
      <c r="K233" s="141" cm="1">
        <f t="array" ref="K233">_FV(C233,"Price")</f>
        <v>55.3</v>
      </c>
      <c r="L233" s="76">
        <f>(K233-I233)*G233</f>
        <v>957.23999999999978</v>
      </c>
      <c r="M233" s="77">
        <f>L233/J233</f>
        <v>0.13045398050631254</v>
      </c>
      <c r="N233" s="43" t="s">
        <v>24</v>
      </c>
      <c r="V233" s="39">
        <f>V231+V232</f>
        <v>0</v>
      </c>
    </row>
    <row r="234" spans="2:22" x14ac:dyDescent="0.25">
      <c r="C234" s="73">
        <f>F234/F233</f>
        <v>0.81967213114754101</v>
      </c>
      <c r="D234" s="87" t="s">
        <v>10</v>
      </c>
      <c r="E234" s="87" t="s">
        <v>13</v>
      </c>
      <c r="F234" s="82">
        <v>40</v>
      </c>
      <c r="G234" s="82">
        <v>0</v>
      </c>
      <c r="H234" s="82">
        <v>0</v>
      </c>
      <c r="I234" s="82" t="e">
        <f>((F234*G234)+H234)/G234</f>
        <v>#DIV/0!</v>
      </c>
      <c r="J234" s="82" t="e">
        <f>I234*G234</f>
        <v>#DIV/0!</v>
      </c>
      <c r="K234" s="82">
        <v>0</v>
      </c>
      <c r="L234" s="79" t="e">
        <f>(K234-I234)*G234</f>
        <v>#DIV/0!</v>
      </c>
      <c r="M234" s="88" t="e">
        <f>L234/J234</f>
        <v>#DIV/0!</v>
      </c>
      <c r="N234" s="89" t="s">
        <v>25</v>
      </c>
    </row>
    <row r="235" spans="2:22" x14ac:dyDescent="0.25">
      <c r="C235" s="73">
        <f>F235/F234</f>
        <v>0.8</v>
      </c>
      <c r="D235" s="87" t="s">
        <v>10</v>
      </c>
      <c r="E235" s="87" t="s">
        <v>13</v>
      </c>
      <c r="F235" s="82">
        <v>32</v>
      </c>
      <c r="G235" s="82">
        <v>0</v>
      </c>
      <c r="H235" s="82">
        <v>0</v>
      </c>
      <c r="I235" s="82" t="e">
        <f>((F235*G235)+H235)/G235</f>
        <v>#DIV/0!</v>
      </c>
      <c r="J235" s="82" t="e">
        <f>I235*G235</f>
        <v>#DIV/0!</v>
      </c>
      <c r="K235" s="82">
        <f>K234</f>
        <v>0</v>
      </c>
      <c r="L235" s="79" t="e">
        <f>(K235-I235)*G235</f>
        <v>#DIV/0!</v>
      </c>
      <c r="M235" s="88" t="e">
        <f>L235/J235</f>
        <v>#DIV/0!</v>
      </c>
      <c r="N235" s="89" t="s">
        <v>26</v>
      </c>
    </row>
    <row r="236" spans="2:22" x14ac:dyDescent="0.25">
      <c r="D236" s="78" t="s">
        <v>10</v>
      </c>
      <c r="E236" s="78" t="s">
        <v>13</v>
      </c>
      <c r="F236" s="90">
        <f>(F233*G233+F234*G234+F235*G235)/SUM(G233:G235)</f>
        <v>48.8</v>
      </c>
      <c r="G236" s="81">
        <f>SUM(G233:G235)</f>
        <v>150</v>
      </c>
      <c r="H236" s="81">
        <f>SUM(H233:H235)</f>
        <v>17.760000000000002</v>
      </c>
      <c r="I236" s="81">
        <f>((F236*G236)+H236)/G236</f>
        <v>48.918399999999998</v>
      </c>
      <c r="J236" s="81">
        <f>I236*G236</f>
        <v>7337.7599999999993</v>
      </c>
      <c r="K236" s="81">
        <f>K233</f>
        <v>55.3</v>
      </c>
      <c r="L236" s="76">
        <f>(K236-I236)*G236</f>
        <v>957.23999999999978</v>
      </c>
      <c r="M236" s="77">
        <f>L236/J236</f>
        <v>0.13045398050631254</v>
      </c>
      <c r="N236" s="39" t="s">
        <v>5</v>
      </c>
    </row>
    <row r="239" spans="2:22" x14ac:dyDescent="0.25">
      <c r="C239" s="43" t="e" vm="28">
        <v>#VALUE!</v>
      </c>
      <c r="D239" s="78" t="s">
        <v>10</v>
      </c>
      <c r="E239" s="78" t="s">
        <v>13</v>
      </c>
      <c r="F239" s="81">
        <f>(267.7*100+267*5)/105</f>
        <v>267.66666666666669</v>
      </c>
      <c r="G239" s="81">
        <v>105</v>
      </c>
      <c r="H239" s="81">
        <f>2.88*3+1</f>
        <v>9.64</v>
      </c>
      <c r="I239" s="81">
        <f>((F239*G239)+H239)/G239</f>
        <v>267.75847619047624</v>
      </c>
      <c r="J239" s="81">
        <f>I239*G239</f>
        <v>28114.640000000007</v>
      </c>
      <c r="K239" s="81" cm="1">
        <f t="array" ref="K239">_FV(C239,"Price")</f>
        <v>282.19</v>
      </c>
      <c r="L239" s="76">
        <f>(K239-I239)*G239</f>
        <v>1515.309999999994</v>
      </c>
      <c r="M239" s="77">
        <f>L239/J239</f>
        <v>5.3897542348043358E-2</v>
      </c>
      <c r="N239" s="43" t="s">
        <v>24</v>
      </c>
    </row>
    <row r="240" spans="2:22" x14ac:dyDescent="0.25">
      <c r="C240" s="73">
        <f>F240/F239</f>
        <v>0.82191780821917804</v>
      </c>
      <c r="D240" s="87" t="s">
        <v>10</v>
      </c>
      <c r="E240" s="87" t="s">
        <v>13</v>
      </c>
      <c r="F240" s="82">
        <v>220</v>
      </c>
      <c r="G240" s="82">
        <v>0</v>
      </c>
      <c r="H240" s="82">
        <v>0</v>
      </c>
      <c r="I240" s="82" t="e">
        <f>((F240*G240)+H240)/G240</f>
        <v>#DIV/0!</v>
      </c>
      <c r="J240" s="82" t="e">
        <f>I240*G240</f>
        <v>#DIV/0!</v>
      </c>
      <c r="K240" s="82">
        <f>K239</f>
        <v>282.19</v>
      </c>
      <c r="L240" s="79" t="e">
        <f>(K240-I240)*G240</f>
        <v>#DIV/0!</v>
      </c>
      <c r="M240" s="88" t="e">
        <f>L240/J240</f>
        <v>#DIV/0!</v>
      </c>
      <c r="N240" s="89" t="s">
        <v>25</v>
      </c>
    </row>
    <row r="241" spans="3:14" x14ac:dyDescent="0.25">
      <c r="C241" s="73">
        <f>F241/F240</f>
        <v>0.90909090909090906</v>
      </c>
      <c r="D241" s="87" t="s">
        <v>10</v>
      </c>
      <c r="E241" s="87" t="s">
        <v>13</v>
      </c>
      <c r="F241" s="82">
        <v>200</v>
      </c>
      <c r="G241" s="82">
        <v>0</v>
      </c>
      <c r="H241" s="82">
        <v>0</v>
      </c>
      <c r="I241" s="82" t="e">
        <f>((F241*G241)+H241)/G241</f>
        <v>#DIV/0!</v>
      </c>
      <c r="J241" s="82" t="e">
        <f>I241*G241</f>
        <v>#DIV/0!</v>
      </c>
      <c r="K241" s="82">
        <f>K240</f>
        <v>282.19</v>
      </c>
      <c r="L241" s="79" t="e">
        <f>(K241-I241)*G241</f>
        <v>#DIV/0!</v>
      </c>
      <c r="M241" s="88" t="e">
        <f>L241/J241</f>
        <v>#DIV/0!</v>
      </c>
      <c r="N241" s="89" t="s">
        <v>26</v>
      </c>
    </row>
    <row r="242" spans="3:14" x14ac:dyDescent="0.25">
      <c r="C242" s="73">
        <f>F242/F241</f>
        <v>0.9</v>
      </c>
      <c r="D242" s="87" t="s">
        <v>10</v>
      </c>
      <c r="E242" s="87" t="s">
        <v>13</v>
      </c>
      <c r="F242" s="82">
        <v>180</v>
      </c>
      <c r="G242" s="82">
        <v>0</v>
      </c>
      <c r="H242" s="82">
        <v>0</v>
      </c>
      <c r="I242" s="82" t="e">
        <f>((F242*G242)+H242)/G242</f>
        <v>#DIV/0!</v>
      </c>
      <c r="J242" s="82" t="e">
        <f>I242*G242</f>
        <v>#DIV/0!</v>
      </c>
      <c r="K242" s="82">
        <f>K241</f>
        <v>282.19</v>
      </c>
      <c r="L242" s="79" t="e">
        <f>(K242-I242)*G242</f>
        <v>#DIV/0!</v>
      </c>
      <c r="M242" s="88" t="e">
        <f>L242/J242</f>
        <v>#DIV/0!</v>
      </c>
      <c r="N242" s="89" t="s">
        <v>255</v>
      </c>
    </row>
    <row r="243" spans="3:14" x14ac:dyDescent="0.25">
      <c r="C243" s="73"/>
      <c r="D243" s="87" t="s">
        <v>10</v>
      </c>
      <c r="E243" s="87" t="s">
        <v>13</v>
      </c>
      <c r="F243" s="82"/>
      <c r="G243" s="82"/>
      <c r="H243" s="82"/>
      <c r="I243" s="82"/>
      <c r="J243" s="82"/>
      <c r="K243" s="82"/>
      <c r="L243" s="79"/>
      <c r="M243" s="88"/>
      <c r="N243" s="89"/>
    </row>
    <row r="244" spans="3:14" x14ac:dyDescent="0.25">
      <c r="D244" s="78" t="s">
        <v>10</v>
      </c>
      <c r="E244" s="78" t="s">
        <v>13</v>
      </c>
      <c r="F244" s="90">
        <f>(F239*G239+F240*G240+F241*G241)/SUM(G239:G241)</f>
        <v>267.66666666666669</v>
      </c>
      <c r="G244" s="81">
        <f>SUM(G239:G241)</f>
        <v>105</v>
      </c>
      <c r="H244" s="81">
        <f>SUM(H239:H241)</f>
        <v>9.64</v>
      </c>
      <c r="I244" s="81">
        <f>((F244*G244)+H244)/G244</f>
        <v>267.75847619047624</v>
      </c>
      <c r="J244" s="81">
        <f>I244*G244</f>
        <v>28114.640000000007</v>
      </c>
      <c r="K244" s="81">
        <f>F242</f>
        <v>180</v>
      </c>
      <c r="L244" s="76">
        <f>(K244-I244)*G244</f>
        <v>-9214.6400000000049</v>
      </c>
      <c r="M244" s="77">
        <f>L244/J244</f>
        <v>-0.32775237385219952</v>
      </c>
      <c r="N244" s="39" t="s">
        <v>5</v>
      </c>
    </row>
    <row r="245" spans="3:14" x14ac:dyDescent="0.25">
      <c r="D245" s="91"/>
      <c r="E245" s="91"/>
      <c r="F245" s="92"/>
      <c r="G245" s="93"/>
      <c r="H245" s="93"/>
      <c r="I245" s="93"/>
      <c r="J245" s="93"/>
      <c r="K245" s="93"/>
      <c r="L245" s="94"/>
      <c r="M245" s="95"/>
    </row>
    <row r="246" spans="3:14" x14ac:dyDescent="0.25">
      <c r="D246" s="91"/>
      <c r="E246" s="91"/>
      <c r="F246" s="92"/>
      <c r="G246" s="93"/>
      <c r="H246" s="93"/>
      <c r="I246" s="93"/>
      <c r="J246" s="93"/>
      <c r="K246" s="93"/>
      <c r="L246" s="94"/>
      <c r="M246" s="95"/>
    </row>
    <row r="247" spans="3:14" x14ac:dyDescent="0.25">
      <c r="C247" s="43" t="e" vm="6">
        <v>#VALUE!</v>
      </c>
      <c r="D247" s="87" t="s">
        <v>10</v>
      </c>
      <c r="E247" s="87" t="s">
        <v>13</v>
      </c>
      <c r="F247" s="82">
        <v>129.5</v>
      </c>
      <c r="G247" s="82">
        <v>0</v>
      </c>
      <c r="H247" s="82">
        <v>0</v>
      </c>
      <c r="I247" s="82" t="e">
        <f>((F247*G247)+H247)/G247</f>
        <v>#DIV/0!</v>
      </c>
      <c r="J247" s="82" t="e">
        <f>I247*G247</f>
        <v>#DIV/0!</v>
      </c>
      <c r="K247" s="82" cm="1">
        <f t="array" ref="K247">_FV(C247,"Price")</f>
        <v>158.44999999999999</v>
      </c>
      <c r="L247" s="79" t="e">
        <f>(K247-I247)*G247</f>
        <v>#DIV/0!</v>
      </c>
      <c r="M247" s="88" t="e">
        <f>L247/J247</f>
        <v>#DIV/0!</v>
      </c>
      <c r="N247" s="89" t="s">
        <v>24</v>
      </c>
    </row>
    <row r="248" spans="3:14" x14ac:dyDescent="0.25">
      <c r="C248" s="73">
        <f>F248/F247</f>
        <v>0.97683397683397688</v>
      </c>
      <c r="D248" s="87" t="s">
        <v>10</v>
      </c>
      <c r="E248" s="87" t="s">
        <v>13</v>
      </c>
      <c r="F248" s="82">
        <v>126.5</v>
      </c>
      <c r="G248" s="82">
        <v>0</v>
      </c>
      <c r="H248" s="82">
        <v>0</v>
      </c>
      <c r="I248" s="82" t="e">
        <f>((F248*G248)+H248)/G248</f>
        <v>#DIV/0!</v>
      </c>
      <c r="J248" s="82" t="e">
        <f>I248*G248</f>
        <v>#DIV/0!</v>
      </c>
      <c r="K248" s="82">
        <f>K247</f>
        <v>158.44999999999999</v>
      </c>
      <c r="L248" s="79" t="e">
        <f>(K248-I248)*G248</f>
        <v>#DIV/0!</v>
      </c>
      <c r="M248" s="88" t="e">
        <f>L248/J248</f>
        <v>#DIV/0!</v>
      </c>
      <c r="N248" s="89" t="s">
        <v>25</v>
      </c>
    </row>
    <row r="249" spans="3:14" x14ac:dyDescent="0.25">
      <c r="C249" s="73">
        <f>F249/F248</f>
        <v>0.79051383399209485</v>
      </c>
      <c r="D249" s="87" t="s">
        <v>10</v>
      </c>
      <c r="E249" s="87" t="s">
        <v>13</v>
      </c>
      <c r="F249" s="82">
        <v>100</v>
      </c>
      <c r="G249" s="82">
        <v>0</v>
      </c>
      <c r="H249" s="82">
        <v>0</v>
      </c>
      <c r="I249" s="82" t="e">
        <f>((F249*G249)+H249)/G249</f>
        <v>#DIV/0!</v>
      </c>
      <c r="J249" s="82" t="e">
        <f>I249*G249</f>
        <v>#DIV/0!</v>
      </c>
      <c r="K249" s="82">
        <f>K248</f>
        <v>158.44999999999999</v>
      </c>
      <c r="L249" s="79" t="e">
        <f>(K249-I249)*G249</f>
        <v>#DIV/0!</v>
      </c>
      <c r="M249" s="88" t="e">
        <f>L249/J249</f>
        <v>#DIV/0!</v>
      </c>
      <c r="N249" s="89" t="s">
        <v>26</v>
      </c>
    </row>
    <row r="250" spans="3:14" x14ac:dyDescent="0.25">
      <c r="D250" s="78" t="s">
        <v>10</v>
      </c>
      <c r="E250" s="78" t="s">
        <v>13</v>
      </c>
      <c r="F250" s="90" t="e">
        <f>(F247*G247+F248*G248+F249*G249)/SUM(G247:G249)</f>
        <v>#DIV/0!</v>
      </c>
      <c r="G250" s="81">
        <f>SUM(G247:G249)</f>
        <v>0</v>
      </c>
      <c r="H250" s="81">
        <f>SUM(H247:H249)</f>
        <v>0</v>
      </c>
      <c r="I250" s="81" t="e">
        <f>((F250*G250)+H250)/G250</f>
        <v>#DIV/0!</v>
      </c>
      <c r="J250" s="81" t="e">
        <f>I250*G250</f>
        <v>#DIV/0!</v>
      </c>
      <c r="K250" s="81">
        <f>F249</f>
        <v>100</v>
      </c>
      <c r="L250" s="76" t="e">
        <f>(K250-I250)*G250</f>
        <v>#DIV/0!</v>
      </c>
      <c r="M250" s="77" t="e">
        <f>L250/J250</f>
        <v>#DIV/0!</v>
      </c>
      <c r="N250" s="39" t="s">
        <v>5</v>
      </c>
    </row>
    <row r="251" spans="3:14" x14ac:dyDescent="0.25">
      <c r="D251" s="91"/>
      <c r="E251" s="91"/>
      <c r="F251" s="92"/>
      <c r="G251" s="93"/>
      <c r="H251" s="93"/>
      <c r="I251" s="93"/>
      <c r="J251" s="93"/>
      <c r="K251" s="93"/>
      <c r="L251" s="94"/>
      <c r="M251" s="95"/>
    </row>
    <row r="252" spans="3:14" x14ac:dyDescent="0.25">
      <c r="D252" s="91"/>
      <c r="E252" s="91"/>
      <c r="F252" s="92"/>
      <c r="G252" s="93"/>
      <c r="H252" s="93"/>
      <c r="I252" s="93"/>
      <c r="J252" s="93"/>
      <c r="K252" s="93"/>
      <c r="L252" s="94"/>
      <c r="M252" s="95"/>
    </row>
    <row r="253" spans="3:14" x14ac:dyDescent="0.25">
      <c r="C253" s="43" t="e" vm="38">
        <v>#VALUE!</v>
      </c>
      <c r="D253" s="78" t="s">
        <v>10</v>
      </c>
      <c r="E253" s="78" t="s">
        <v>13</v>
      </c>
      <c r="F253" s="81">
        <v>179</v>
      </c>
      <c r="G253" s="81">
        <v>40</v>
      </c>
      <c r="H253" s="81">
        <f>2.88*2+1</f>
        <v>6.76</v>
      </c>
      <c r="I253" s="81">
        <f>((F253*G253)+H253)/G253</f>
        <v>179.16900000000001</v>
      </c>
      <c r="J253" s="81">
        <f>I253*G253</f>
        <v>7166.76</v>
      </c>
      <c r="K253" s="141" cm="1">
        <f t="array" ref="K253">_FV(C253,"Price")</f>
        <v>147.44999999999999</v>
      </c>
      <c r="L253" s="76">
        <f>(K253-I253)*G253</f>
        <v>-1268.7600000000009</v>
      </c>
      <c r="M253" s="77">
        <f>L253/J253</f>
        <v>-0.17703397351104277</v>
      </c>
      <c r="N253" s="43" t="s">
        <v>24</v>
      </c>
    </row>
    <row r="254" spans="3:14" x14ac:dyDescent="0.25">
      <c r="C254" s="73">
        <f>F254/F253</f>
        <v>0.93072625698324019</v>
      </c>
      <c r="D254" s="78" t="s">
        <v>10</v>
      </c>
      <c r="E254" s="78" t="s">
        <v>13</v>
      </c>
      <c r="F254" s="81">
        <v>166.6</v>
      </c>
      <c r="G254" s="81">
        <v>20</v>
      </c>
      <c r="H254" s="81">
        <v>2.88</v>
      </c>
      <c r="I254" s="81">
        <f>((F254*G254)+H254)/G254</f>
        <v>166.744</v>
      </c>
      <c r="J254" s="81">
        <f>I254*G254</f>
        <v>3334.88</v>
      </c>
      <c r="K254" s="81">
        <f>K253</f>
        <v>147.44999999999999</v>
      </c>
      <c r="L254" s="76">
        <f>(K254-I254)*G254</f>
        <v>-385.88000000000022</v>
      </c>
      <c r="M254" s="77">
        <f>L254/J254</f>
        <v>-0.11571031041596705</v>
      </c>
      <c r="N254" s="43" t="s">
        <v>25</v>
      </c>
    </row>
    <row r="255" spans="3:14" x14ac:dyDescent="0.25">
      <c r="C255" s="73">
        <f>F255/F254</f>
        <v>0.88835534213685474</v>
      </c>
      <c r="D255" s="87" t="s">
        <v>10</v>
      </c>
      <c r="E255" s="87" t="s">
        <v>13</v>
      </c>
      <c r="F255" s="82">
        <v>148</v>
      </c>
      <c r="G255" s="82">
        <v>0</v>
      </c>
      <c r="H255" s="82">
        <v>0</v>
      </c>
      <c r="I255" s="82" t="e">
        <f>((F255*G255)+H255)/G255</f>
        <v>#DIV/0!</v>
      </c>
      <c r="J255" s="82" t="e">
        <f>I255*G255</f>
        <v>#DIV/0!</v>
      </c>
      <c r="K255" s="82">
        <f>K254</f>
        <v>147.44999999999999</v>
      </c>
      <c r="L255" s="79" t="e">
        <f>(K255-I255)*G255</f>
        <v>#DIV/0!</v>
      </c>
      <c r="M255" s="88" t="e">
        <f>L255/J255</f>
        <v>#DIV/0!</v>
      </c>
      <c r="N255" s="89" t="s">
        <v>26</v>
      </c>
    </row>
    <row r="256" spans="3:14" x14ac:dyDescent="0.25">
      <c r="C256" s="73">
        <f t="shared" ref="C256:C258" si="141">F256/F255</f>
        <v>0.81081081081081086</v>
      </c>
      <c r="D256" s="87" t="s">
        <v>10</v>
      </c>
      <c r="E256" s="87" t="s">
        <v>13</v>
      </c>
      <c r="F256" s="82">
        <v>120</v>
      </c>
      <c r="G256" s="82"/>
      <c r="H256" s="82"/>
      <c r="I256" s="82" t="e">
        <f t="shared" ref="I256:I258" si="142">((F256*G256)+H256)/G256</f>
        <v>#DIV/0!</v>
      </c>
      <c r="J256" s="82" t="e">
        <f t="shared" ref="J256:J258" si="143">I256*G256</f>
        <v>#DIV/0!</v>
      </c>
      <c r="K256" s="82">
        <f t="shared" ref="K256:K258" si="144">K255</f>
        <v>147.44999999999999</v>
      </c>
      <c r="L256" s="79" t="e">
        <f t="shared" ref="L256:L258" si="145">(K256-I256)*G256</f>
        <v>#DIV/0!</v>
      </c>
      <c r="M256" s="88" t="e">
        <f t="shared" ref="M256:M258" si="146">L256/J256</f>
        <v>#DIV/0!</v>
      </c>
      <c r="N256" s="43" t="s">
        <v>255</v>
      </c>
    </row>
    <row r="257" spans="3:14" x14ac:dyDescent="0.25">
      <c r="C257" s="73">
        <f t="shared" si="141"/>
        <v>0.83333333333333337</v>
      </c>
      <c r="D257" s="87" t="s">
        <v>10</v>
      </c>
      <c r="E257" s="87" t="s">
        <v>13</v>
      </c>
      <c r="F257" s="82">
        <v>100</v>
      </c>
      <c r="G257" s="82"/>
      <c r="H257" s="82"/>
      <c r="I257" s="82" t="e">
        <f t="shared" si="142"/>
        <v>#DIV/0!</v>
      </c>
      <c r="J257" s="82" t="e">
        <f t="shared" si="143"/>
        <v>#DIV/0!</v>
      </c>
      <c r="K257" s="82">
        <f t="shared" si="144"/>
        <v>147.44999999999999</v>
      </c>
      <c r="L257" s="79" t="e">
        <f t="shared" si="145"/>
        <v>#DIV/0!</v>
      </c>
      <c r="M257" s="88" t="e">
        <f t="shared" si="146"/>
        <v>#DIV/0!</v>
      </c>
      <c r="N257" s="43" t="s">
        <v>406</v>
      </c>
    </row>
    <row r="258" spans="3:14" x14ac:dyDescent="0.25">
      <c r="C258" s="73">
        <f t="shared" si="141"/>
        <v>0.8</v>
      </c>
      <c r="D258" s="87" t="s">
        <v>10</v>
      </c>
      <c r="E258" s="87" t="s">
        <v>13</v>
      </c>
      <c r="F258" s="82">
        <v>80</v>
      </c>
      <c r="G258" s="82"/>
      <c r="H258" s="82"/>
      <c r="I258" s="82" t="e">
        <f t="shared" si="142"/>
        <v>#DIV/0!</v>
      </c>
      <c r="J258" s="82" t="e">
        <f t="shared" si="143"/>
        <v>#DIV/0!</v>
      </c>
      <c r="K258" s="82">
        <f t="shared" si="144"/>
        <v>147.44999999999999</v>
      </c>
      <c r="L258" s="79" t="e">
        <f t="shared" si="145"/>
        <v>#DIV/0!</v>
      </c>
      <c r="M258" s="88" t="e">
        <f t="shared" si="146"/>
        <v>#DIV/0!</v>
      </c>
      <c r="N258" s="43" t="s">
        <v>407</v>
      </c>
    </row>
    <row r="259" spans="3:14" x14ac:dyDescent="0.25">
      <c r="D259" s="78" t="s">
        <v>10</v>
      </c>
      <c r="E259" s="78" t="s">
        <v>13</v>
      </c>
      <c r="F259" s="90">
        <f>(F253*G253+F254*G254+F255*G255)/SUM(G253:G255)</f>
        <v>174.86666666666667</v>
      </c>
      <c r="G259" s="81">
        <f>SUM(G253:G255)</f>
        <v>60</v>
      </c>
      <c r="H259" s="81">
        <f>SUM(H253:H255)</f>
        <v>9.64</v>
      </c>
      <c r="I259" s="81">
        <f>((F259*G259)+H259)/G259</f>
        <v>175.02733333333333</v>
      </c>
      <c r="J259" s="81">
        <f>I259*G259</f>
        <v>10501.64</v>
      </c>
      <c r="K259" s="81">
        <f>F255</f>
        <v>148</v>
      </c>
      <c r="L259" s="76">
        <f>(K259-I259)*G259</f>
        <v>-1621.6399999999999</v>
      </c>
      <c r="M259" s="77">
        <f>L259/J259</f>
        <v>-0.1544177861743499</v>
      </c>
      <c r="N259" s="39" t="s">
        <v>5</v>
      </c>
    </row>
    <row r="260" spans="3:14" x14ac:dyDescent="0.25">
      <c r="D260" s="91"/>
      <c r="E260" s="91"/>
      <c r="F260" s="92"/>
      <c r="G260" s="93"/>
      <c r="H260" s="93"/>
      <c r="I260" s="93"/>
      <c r="J260" s="93"/>
      <c r="K260" s="93"/>
      <c r="L260" s="94"/>
      <c r="M260" s="95"/>
    </row>
    <row r="261" spans="3:14" x14ac:dyDescent="0.25">
      <c r="D261" s="91"/>
      <c r="E261" s="91"/>
      <c r="F261" s="92"/>
      <c r="G261" s="93"/>
      <c r="H261" s="93"/>
      <c r="I261" s="93"/>
      <c r="J261" s="93"/>
      <c r="K261" s="93"/>
      <c r="L261" s="94"/>
      <c r="M261" s="95"/>
    </row>
    <row r="262" spans="3:14" x14ac:dyDescent="0.25">
      <c r="C262" s="43" t="e" vm="18">
        <v>#VALUE!</v>
      </c>
      <c r="D262" s="78" t="s">
        <v>10</v>
      </c>
      <c r="E262" s="78" t="s">
        <v>13</v>
      </c>
      <c r="F262" s="81">
        <v>6</v>
      </c>
      <c r="G262" s="81">
        <v>600</v>
      </c>
      <c r="H262" s="81">
        <f>2.88*2+1</f>
        <v>6.76</v>
      </c>
      <c r="I262" s="81">
        <f>((F262*G262)+H262)/G262</f>
        <v>6.0112666666666668</v>
      </c>
      <c r="J262" s="81">
        <f>I262*G262</f>
        <v>3606.76</v>
      </c>
      <c r="K262" s="81" cm="1">
        <f t="array" ref="K262">_FV(C262,"Price")</f>
        <v>6</v>
      </c>
      <c r="L262" s="76">
        <f>(K262-I262)*G262</f>
        <v>-6.7600000000000549</v>
      </c>
      <c r="M262" s="77">
        <f>L262/J262</f>
        <v>-1.8742583371225295E-3</v>
      </c>
      <c r="N262" s="43" t="s">
        <v>24</v>
      </c>
    </row>
    <row r="263" spans="3:14" x14ac:dyDescent="0.25">
      <c r="C263" s="73">
        <f>F263/F262</f>
        <v>0.96166666666666656</v>
      </c>
      <c r="D263" s="87" t="s">
        <v>10</v>
      </c>
      <c r="E263" s="87" t="s">
        <v>13</v>
      </c>
      <c r="F263" s="82">
        <v>5.77</v>
      </c>
      <c r="G263" s="82">
        <v>300</v>
      </c>
      <c r="H263" s="82">
        <f>2.88*2+1</f>
        <v>6.76</v>
      </c>
      <c r="I263" s="82">
        <f>((F263*G263)+H263)/G263</f>
        <v>5.7925333333333322</v>
      </c>
      <c r="J263" s="82">
        <f>I263*G263</f>
        <v>1737.7599999999998</v>
      </c>
      <c r="K263" s="82">
        <f>K262</f>
        <v>6</v>
      </c>
      <c r="L263" s="79">
        <f>(K263-I263)*G263</f>
        <v>62.240000000000336</v>
      </c>
      <c r="M263" s="88">
        <f>L263/J263</f>
        <v>3.5816223183869088E-2</v>
      </c>
      <c r="N263" s="89" t="s">
        <v>25</v>
      </c>
    </row>
    <row r="264" spans="3:14" x14ac:dyDescent="0.25">
      <c r="C264" s="73">
        <f>F264/F263</f>
        <v>0.69324090121317161</v>
      </c>
      <c r="D264" s="87" t="s">
        <v>10</v>
      </c>
      <c r="E264" s="87" t="s">
        <v>13</v>
      </c>
      <c r="F264" s="82">
        <v>4</v>
      </c>
      <c r="G264" s="82">
        <v>0</v>
      </c>
      <c r="H264" s="82">
        <v>0</v>
      </c>
      <c r="I264" s="82" t="e">
        <f>((F264*G264)+H264)/G264</f>
        <v>#DIV/0!</v>
      </c>
      <c r="J264" s="82" t="e">
        <f>I264*G264</f>
        <v>#DIV/0!</v>
      </c>
      <c r="K264" s="82">
        <f>K263</f>
        <v>6</v>
      </c>
      <c r="L264" s="79" t="e">
        <f>(K264-I264)*G264</f>
        <v>#DIV/0!</v>
      </c>
      <c r="M264" s="88" t="e">
        <f>L264/J264</f>
        <v>#DIV/0!</v>
      </c>
      <c r="N264" s="89" t="s">
        <v>26</v>
      </c>
    </row>
    <row r="265" spans="3:14" x14ac:dyDescent="0.25">
      <c r="C265" s="73">
        <f t="shared" ref="C265:C266" si="147">F265/F264</f>
        <v>0.75</v>
      </c>
      <c r="D265" s="87" t="s">
        <v>10</v>
      </c>
      <c r="E265" s="87" t="s">
        <v>13</v>
      </c>
      <c r="F265" s="82">
        <v>3</v>
      </c>
      <c r="G265" s="82">
        <v>0</v>
      </c>
      <c r="H265" s="82">
        <v>0</v>
      </c>
      <c r="I265" s="82" t="e">
        <f t="shared" ref="I265:I266" si="148">((F265*G265)+H265)/G265</f>
        <v>#DIV/0!</v>
      </c>
      <c r="J265" s="82" t="e">
        <f t="shared" ref="J265:J266" si="149">I265*G265</f>
        <v>#DIV/0!</v>
      </c>
      <c r="K265" s="82">
        <f t="shared" ref="K265:K266" si="150">K264</f>
        <v>6</v>
      </c>
      <c r="L265" s="79" t="e">
        <f t="shared" ref="L265:L266" si="151">(K265-I265)*G265</f>
        <v>#DIV/0!</v>
      </c>
      <c r="M265" s="88" t="e">
        <f t="shared" ref="M265:M266" si="152">L265/J265</f>
        <v>#DIV/0!</v>
      </c>
      <c r="N265" s="89" t="s">
        <v>255</v>
      </c>
    </row>
    <row r="266" spans="3:14" x14ac:dyDescent="0.25">
      <c r="C266" s="73">
        <f t="shared" si="147"/>
        <v>0.66666666666666663</v>
      </c>
      <c r="D266" s="87" t="s">
        <v>10</v>
      </c>
      <c r="E266" s="87" t="s">
        <v>13</v>
      </c>
      <c r="F266" s="82">
        <v>2</v>
      </c>
      <c r="G266" s="82">
        <v>0</v>
      </c>
      <c r="H266" s="82">
        <v>0</v>
      </c>
      <c r="I266" s="82" t="e">
        <f t="shared" si="148"/>
        <v>#DIV/0!</v>
      </c>
      <c r="J266" s="82" t="e">
        <f t="shared" si="149"/>
        <v>#DIV/0!</v>
      </c>
      <c r="K266" s="82">
        <f t="shared" si="150"/>
        <v>6</v>
      </c>
      <c r="L266" s="79" t="e">
        <f t="shared" si="151"/>
        <v>#DIV/0!</v>
      </c>
      <c r="M266" s="88" t="e">
        <f t="shared" si="152"/>
        <v>#DIV/0!</v>
      </c>
      <c r="N266" s="89" t="s">
        <v>406</v>
      </c>
    </row>
    <row r="267" spans="3:14" x14ac:dyDescent="0.25">
      <c r="D267" s="78" t="s">
        <v>10</v>
      </c>
      <c r="E267" s="78" t="s">
        <v>13</v>
      </c>
      <c r="F267" s="90">
        <f>(F262*G262+F263*G263+F264*G264+F265*G265+F266*G266)/SUM(G262:G266)</f>
        <v>5.9233333333333329</v>
      </c>
      <c r="G267" s="81">
        <f>SUM(G262:G266)</f>
        <v>900</v>
      </c>
      <c r="H267" s="81">
        <f>SUM(H262:H265)</f>
        <v>13.52</v>
      </c>
      <c r="I267" s="81">
        <f>((F267*G267)+H267)/G267</f>
        <v>5.9383555555555558</v>
      </c>
      <c r="J267" s="81">
        <f>I267*G267</f>
        <v>5344.52</v>
      </c>
      <c r="K267" s="81">
        <f>K262</f>
        <v>6</v>
      </c>
      <c r="L267" s="76">
        <f>(K267-I267)*G267</f>
        <v>55.479999999999748</v>
      </c>
      <c r="M267" s="77">
        <f>L267/J267</f>
        <v>1.0380726426320744E-2</v>
      </c>
      <c r="N267" s="39" t="s">
        <v>5</v>
      </c>
    </row>
    <row r="268" spans="3:14" x14ac:dyDescent="0.25">
      <c r="E268" s="153"/>
      <c r="L268" s="301"/>
    </row>
    <row r="269" spans="3:14" x14ac:dyDescent="0.25">
      <c r="E269" s="153"/>
      <c r="L269" s="301"/>
    </row>
    <row r="270" spans="3:14" x14ac:dyDescent="0.25">
      <c r="C270" s="43" t="e" vm="29">
        <v>#VALUE!</v>
      </c>
      <c r="D270" s="78" t="s">
        <v>10</v>
      </c>
      <c r="E270" s="78" t="s">
        <v>13</v>
      </c>
      <c r="F270" s="81">
        <v>40.5</v>
      </c>
      <c r="G270" s="81">
        <v>100</v>
      </c>
      <c r="H270" s="81">
        <f>2.88*2+1</f>
        <v>6.76</v>
      </c>
      <c r="I270" s="81">
        <f>((F270*G270)+H270)/G270</f>
        <v>40.567599999999999</v>
      </c>
      <c r="J270" s="81">
        <f>I270*G270</f>
        <v>4056.7599999999998</v>
      </c>
      <c r="K270" s="141" cm="1">
        <f t="array" ref="K270">_FV(C270,"Price")</f>
        <v>21.21</v>
      </c>
      <c r="L270" s="76">
        <f>(K270-I270)*G270</f>
        <v>-1935.7599999999998</v>
      </c>
      <c r="M270" s="77">
        <f>L270/J270</f>
        <v>-0.47716897228329996</v>
      </c>
      <c r="N270" s="43" t="s">
        <v>24</v>
      </c>
    </row>
    <row r="271" spans="3:14" x14ac:dyDescent="0.25">
      <c r="C271" s="73">
        <f>F271/F270</f>
        <v>0.81481481481481477</v>
      </c>
      <c r="D271" s="78" t="s">
        <v>10</v>
      </c>
      <c r="E271" s="78" t="s">
        <v>13</v>
      </c>
      <c r="F271" s="81">
        <v>33</v>
      </c>
      <c r="G271" s="81">
        <v>50</v>
      </c>
      <c r="H271" s="81">
        <v>2.88</v>
      </c>
      <c r="I271" s="81">
        <f>((F271*G271)+H271)/G271</f>
        <v>33.057600000000001</v>
      </c>
      <c r="J271" s="81">
        <f>I271*G271</f>
        <v>1652.88</v>
      </c>
      <c r="K271" s="81">
        <f>K270</f>
        <v>21.21</v>
      </c>
      <c r="L271" s="76">
        <f>(K271-I271)*G271</f>
        <v>-592.38</v>
      </c>
      <c r="M271" s="77">
        <f>L271/J271</f>
        <v>-0.35839262378394071</v>
      </c>
      <c r="N271" s="43" t="s">
        <v>25</v>
      </c>
    </row>
    <row r="272" spans="3:14" x14ac:dyDescent="0.25">
      <c r="C272" s="73">
        <f>F272/F271</f>
        <v>0.90909090909090906</v>
      </c>
      <c r="D272" s="78" t="s">
        <v>10</v>
      </c>
      <c r="E272" s="78" t="s">
        <v>13</v>
      </c>
      <c r="F272" s="81">
        <v>30</v>
      </c>
      <c r="G272" s="81">
        <v>50</v>
      </c>
      <c r="H272" s="81">
        <v>2.88</v>
      </c>
      <c r="I272" s="81">
        <f>((F272*G272)+H272)/G272</f>
        <v>30.057600000000001</v>
      </c>
      <c r="J272" s="81">
        <f>I272*G272</f>
        <v>1502.88</v>
      </c>
      <c r="K272" s="81">
        <f>K271</f>
        <v>21.21</v>
      </c>
      <c r="L272" s="76">
        <f>(K272-I272)*G272</f>
        <v>-442.38</v>
      </c>
      <c r="M272" s="77">
        <f>L272/J272</f>
        <v>-0.29435483870967738</v>
      </c>
      <c r="N272" s="43" t="s">
        <v>26</v>
      </c>
    </row>
    <row r="273" spans="3:14" x14ac:dyDescent="0.25">
      <c r="C273" s="73">
        <f t="shared" ref="C273:C274" si="153">F273/F272</f>
        <v>0.93333333333333335</v>
      </c>
      <c r="D273" s="87" t="s">
        <v>10</v>
      </c>
      <c r="E273" s="87" t="s">
        <v>13</v>
      </c>
      <c r="F273" s="82">
        <v>28</v>
      </c>
      <c r="G273" s="82">
        <v>0</v>
      </c>
      <c r="H273" s="82">
        <v>0</v>
      </c>
      <c r="I273" s="82" t="e">
        <f t="shared" ref="I273:I274" si="154">((F273*G273)+H273)/G273</f>
        <v>#DIV/0!</v>
      </c>
      <c r="J273" s="82" t="e">
        <f t="shared" ref="J273:J274" si="155">I273*G273</f>
        <v>#DIV/0!</v>
      </c>
      <c r="K273" s="82">
        <f t="shared" ref="K273:K274" si="156">K272</f>
        <v>21.21</v>
      </c>
      <c r="L273" s="79" t="e">
        <f t="shared" ref="L273:L274" si="157">(K273-I273)*G273</f>
        <v>#DIV/0!</v>
      </c>
      <c r="M273" s="88" t="e">
        <f t="shared" ref="M273:M274" si="158">L273/J273</f>
        <v>#DIV/0!</v>
      </c>
      <c r="N273" s="89" t="s">
        <v>255</v>
      </c>
    </row>
    <row r="274" spans="3:14" x14ac:dyDescent="0.25">
      <c r="C274" s="73">
        <f t="shared" si="153"/>
        <v>0.7142857142857143</v>
      </c>
      <c r="D274" s="87" t="s">
        <v>10</v>
      </c>
      <c r="E274" s="87" t="s">
        <v>13</v>
      </c>
      <c r="F274" s="82">
        <v>20</v>
      </c>
      <c r="G274" s="82">
        <v>0</v>
      </c>
      <c r="H274" s="82">
        <v>0</v>
      </c>
      <c r="I274" s="82" t="e">
        <f t="shared" si="154"/>
        <v>#DIV/0!</v>
      </c>
      <c r="J274" s="82" t="e">
        <f t="shared" si="155"/>
        <v>#DIV/0!</v>
      </c>
      <c r="K274" s="82">
        <f t="shared" si="156"/>
        <v>21.21</v>
      </c>
      <c r="L274" s="79" t="e">
        <f t="shared" si="157"/>
        <v>#DIV/0!</v>
      </c>
      <c r="M274" s="88" t="e">
        <f t="shared" si="158"/>
        <v>#DIV/0!</v>
      </c>
      <c r="N274" s="89" t="s">
        <v>406</v>
      </c>
    </row>
    <row r="275" spans="3:14" x14ac:dyDescent="0.25">
      <c r="D275" s="78" t="s">
        <v>10</v>
      </c>
      <c r="E275" s="78" t="s">
        <v>13</v>
      </c>
      <c r="F275" s="90">
        <f>(F270*G270+F271*G271+F272*G272+F273*G273+F274*G274)/SUM(G270:G274)</f>
        <v>36</v>
      </c>
      <c r="G275" s="81">
        <f>SUM(G270:G274)</f>
        <v>200</v>
      </c>
      <c r="H275" s="81">
        <f>SUM(H270:H273)</f>
        <v>12.52</v>
      </c>
      <c r="I275" s="81">
        <f>((F275*G275)+H275)/G275</f>
        <v>36.062600000000003</v>
      </c>
      <c r="J275" s="81">
        <f>I275*G275</f>
        <v>7212.52</v>
      </c>
      <c r="K275" s="81">
        <f>K270</f>
        <v>21.21</v>
      </c>
      <c r="L275" s="76">
        <f>(K275-I275)*G275</f>
        <v>-2970.5200000000004</v>
      </c>
      <c r="M275" s="77">
        <f>L275/J275</f>
        <v>-0.41185605031251216</v>
      </c>
      <c r="N275" s="39" t="s">
        <v>5</v>
      </c>
    </row>
    <row r="276" spans="3:14" x14ac:dyDescent="0.25">
      <c r="D276" s="91"/>
      <c r="E276" s="91"/>
      <c r="F276" s="92"/>
      <c r="G276" s="93"/>
      <c r="H276" s="93"/>
      <c r="I276" s="93"/>
      <c r="J276" s="93"/>
      <c r="K276" s="93"/>
      <c r="L276" s="94"/>
      <c r="M276" s="95"/>
    </row>
    <row r="277" spans="3:14" x14ac:dyDescent="0.25">
      <c r="D277" s="91"/>
      <c r="E277" s="91"/>
      <c r="F277" s="92"/>
      <c r="G277" s="93"/>
      <c r="H277" s="93"/>
      <c r="I277" s="93"/>
      <c r="J277" s="93"/>
      <c r="K277" s="93"/>
      <c r="L277" s="94"/>
      <c r="M277" s="95"/>
    </row>
    <row r="278" spans="3:14" x14ac:dyDescent="0.25">
      <c r="C278" s="43" t="e" vm="14">
        <v>#VALUE!</v>
      </c>
      <c r="D278" s="78" t="s">
        <v>10</v>
      </c>
      <c r="E278" s="78" t="s">
        <v>13</v>
      </c>
      <c r="F278" s="81">
        <v>167.65555555555557</v>
      </c>
      <c r="G278" s="241">
        <v>20</v>
      </c>
      <c r="H278" s="81">
        <f>2.88*2+1</f>
        <v>6.76</v>
      </c>
      <c r="I278" s="81">
        <f>((F278*G278)+H278)/G278</f>
        <v>167.99355555555559</v>
      </c>
      <c r="J278" s="81">
        <f>I278*G278</f>
        <v>3359.8711111111115</v>
      </c>
      <c r="K278" s="141" cm="1">
        <f t="array" ref="K278">_FV(C278,"Price")</f>
        <v>115.09</v>
      </c>
      <c r="L278" s="76">
        <f>(K278-I278)*G278</f>
        <v>-1058.0711111111118</v>
      </c>
      <c r="M278" s="77">
        <f>L278/J278</f>
        <v>-0.31491419644404367</v>
      </c>
      <c r="N278" s="43" t="s">
        <v>24</v>
      </c>
    </row>
    <row r="279" spans="3:14" x14ac:dyDescent="0.25">
      <c r="C279" s="73">
        <f>F279/F278</f>
        <v>0.85663728543972428</v>
      </c>
      <c r="D279" s="78" t="s">
        <v>10</v>
      </c>
      <c r="E279" s="78" t="s">
        <v>13</v>
      </c>
      <c r="F279" s="81">
        <f>(144.5*10+143.8*20+143*20)/50</f>
        <v>143.62</v>
      </c>
      <c r="G279" s="241">
        <v>50</v>
      </c>
      <c r="H279" s="81">
        <f>2.88*3+1</f>
        <v>9.64</v>
      </c>
      <c r="I279" s="81">
        <f>((F279*G279)+H279)/G279</f>
        <v>143.81280000000001</v>
      </c>
      <c r="J279" s="81">
        <f>I279*G279</f>
        <v>7190.64</v>
      </c>
      <c r="K279" s="81">
        <f>K278</f>
        <v>115.09</v>
      </c>
      <c r="L279" s="76">
        <f>(K279-I279)*G279</f>
        <v>-1436.1400000000003</v>
      </c>
      <c r="M279" s="77">
        <f>L279/J279</f>
        <v>-0.19972352947720931</v>
      </c>
      <c r="N279" s="43" t="s">
        <v>25</v>
      </c>
    </row>
    <row r="280" spans="3:14" x14ac:dyDescent="0.25">
      <c r="C280" s="73">
        <f>F280/F279</f>
        <v>0.87035231861857676</v>
      </c>
      <c r="D280" s="78" t="s">
        <v>10</v>
      </c>
      <c r="E280" s="78" t="s">
        <v>13</v>
      </c>
      <c r="F280" s="81">
        <v>125</v>
      </c>
      <c r="G280" s="81">
        <v>10</v>
      </c>
      <c r="H280" s="81">
        <v>2.88</v>
      </c>
      <c r="I280" s="81">
        <f>((F280*G280)+H280)/G280</f>
        <v>125.28800000000001</v>
      </c>
      <c r="J280" s="81">
        <f>I280*G280</f>
        <v>1252.8800000000001</v>
      </c>
      <c r="K280" s="81">
        <f>K279</f>
        <v>115.09</v>
      </c>
      <c r="L280" s="76">
        <f>(K280-I280)*G280</f>
        <v>-101.98000000000008</v>
      </c>
      <c r="M280" s="77">
        <f>L280/J280</f>
        <v>-8.1396462550284196E-2</v>
      </c>
      <c r="N280" s="43" t="s">
        <v>26</v>
      </c>
    </row>
    <row r="281" spans="3:14" x14ac:dyDescent="0.25">
      <c r="C281" s="73">
        <f t="shared" ref="C281:C283" si="159">F281/F280</f>
        <v>0.96</v>
      </c>
      <c r="D281" s="87" t="s">
        <v>10</v>
      </c>
      <c r="E281" s="87" t="s">
        <v>13</v>
      </c>
      <c r="F281" s="82">
        <v>120</v>
      </c>
      <c r="G281" s="82">
        <v>0</v>
      </c>
      <c r="H281" s="82">
        <v>0</v>
      </c>
      <c r="I281" s="82" t="e">
        <f t="shared" ref="I281:I283" si="160">((F281*G281)+H281)/G281</f>
        <v>#DIV/0!</v>
      </c>
      <c r="J281" s="82" t="e">
        <f t="shared" ref="J281:J283" si="161">I281*G281</f>
        <v>#DIV/0!</v>
      </c>
      <c r="K281" s="82">
        <f t="shared" ref="K281:K283" si="162">K280</f>
        <v>115.09</v>
      </c>
      <c r="L281" s="79" t="e">
        <f t="shared" ref="L281:L283" si="163">(K281-I281)*G281</f>
        <v>#DIV/0!</v>
      </c>
      <c r="M281" s="88" t="e">
        <f t="shared" ref="M281:M283" si="164">L281/J281</f>
        <v>#DIV/0!</v>
      </c>
      <c r="N281" s="89" t="s">
        <v>255</v>
      </c>
    </row>
    <row r="282" spans="3:14" x14ac:dyDescent="0.25">
      <c r="C282" s="73">
        <f t="shared" si="159"/>
        <v>0.83333333333333337</v>
      </c>
      <c r="D282" s="87" t="s">
        <v>10</v>
      </c>
      <c r="E282" s="87" t="s">
        <v>13</v>
      </c>
      <c r="F282" s="82">
        <v>100</v>
      </c>
      <c r="G282" s="82">
        <v>0</v>
      </c>
      <c r="H282" s="82">
        <v>0</v>
      </c>
      <c r="I282" s="82" t="e">
        <f t="shared" si="160"/>
        <v>#DIV/0!</v>
      </c>
      <c r="J282" s="82" t="e">
        <f t="shared" si="161"/>
        <v>#DIV/0!</v>
      </c>
      <c r="K282" s="82">
        <f t="shared" si="162"/>
        <v>115.09</v>
      </c>
      <c r="L282" s="79" t="e">
        <f t="shared" si="163"/>
        <v>#DIV/0!</v>
      </c>
      <c r="M282" s="88" t="e">
        <f t="shared" si="164"/>
        <v>#DIV/0!</v>
      </c>
      <c r="N282" s="89" t="s">
        <v>406</v>
      </c>
    </row>
    <row r="283" spans="3:14" x14ac:dyDescent="0.25">
      <c r="C283" s="73">
        <f t="shared" si="159"/>
        <v>0.8</v>
      </c>
      <c r="D283" s="87" t="s">
        <v>10</v>
      </c>
      <c r="E283" s="87" t="s">
        <v>13</v>
      </c>
      <c r="F283" s="82">
        <v>80</v>
      </c>
      <c r="G283" s="82">
        <v>0</v>
      </c>
      <c r="H283" s="82">
        <v>0</v>
      </c>
      <c r="I283" s="82" t="e">
        <f t="shared" si="160"/>
        <v>#DIV/0!</v>
      </c>
      <c r="J283" s="82" t="e">
        <f t="shared" si="161"/>
        <v>#DIV/0!</v>
      </c>
      <c r="K283" s="82">
        <f t="shared" si="162"/>
        <v>115.09</v>
      </c>
      <c r="L283" s="79" t="e">
        <f t="shared" si="163"/>
        <v>#DIV/0!</v>
      </c>
      <c r="M283" s="88" t="e">
        <f t="shared" si="164"/>
        <v>#DIV/0!</v>
      </c>
      <c r="N283" s="89" t="s">
        <v>407</v>
      </c>
    </row>
    <row r="284" spans="3:14" x14ac:dyDescent="0.25">
      <c r="D284" s="78" t="s">
        <v>10</v>
      </c>
      <c r="E284" s="78" t="s">
        <v>13</v>
      </c>
      <c r="F284" s="90">
        <f>(F278*G278+F279*G279+F280*G280+F281*G281+F282*G282)/SUM(G278:G282)</f>
        <v>147.30138888888888</v>
      </c>
      <c r="G284" s="81">
        <f>SUM(G278:G282)</f>
        <v>80</v>
      </c>
      <c r="H284" s="81">
        <f>SUM(H278:H282)</f>
        <v>19.279999999999998</v>
      </c>
      <c r="I284" s="81">
        <f>((F284*G284)+H284)/G284</f>
        <v>147.54238888888887</v>
      </c>
      <c r="J284" s="81">
        <f>I284*G284</f>
        <v>11803.391111111108</v>
      </c>
      <c r="K284" s="81">
        <f>K278</f>
        <v>115.09</v>
      </c>
      <c r="L284" s="76">
        <f>(K284-I284)*G284</f>
        <v>-2596.191111111109</v>
      </c>
      <c r="M284" s="77">
        <f>L284/J284</f>
        <v>-0.21995298526261556</v>
      </c>
      <c r="N284" s="39" t="s">
        <v>5</v>
      </c>
    </row>
    <row r="285" spans="3:14" x14ac:dyDescent="0.25">
      <c r="D285" s="91"/>
      <c r="E285" s="91"/>
      <c r="F285" s="92"/>
      <c r="G285" s="93"/>
      <c r="H285" s="93"/>
      <c r="I285" s="93"/>
      <c r="J285" s="93"/>
      <c r="K285" s="93"/>
      <c r="L285" s="94"/>
      <c r="M285" s="95"/>
    </row>
    <row r="286" spans="3:14" x14ac:dyDescent="0.25">
      <c r="D286" s="91"/>
      <c r="E286" s="91"/>
      <c r="F286" s="92"/>
      <c r="G286" s="93"/>
      <c r="H286" s="93"/>
      <c r="I286" s="93"/>
      <c r="J286" s="93"/>
      <c r="K286" s="93"/>
      <c r="L286" s="94"/>
      <c r="M286" s="95"/>
    </row>
    <row r="287" spans="3:14" x14ac:dyDescent="0.25">
      <c r="C287" s="43" t="e" vm="54">
        <v>#VALUE!</v>
      </c>
      <c r="D287" s="78" t="s">
        <v>10</v>
      </c>
      <c r="E287" s="78" t="s">
        <v>13</v>
      </c>
      <c r="F287" s="81">
        <v>236</v>
      </c>
      <c r="G287" s="81">
        <v>10</v>
      </c>
      <c r="H287" s="81">
        <f>2.88*2+1</f>
        <v>6.76</v>
      </c>
      <c r="I287" s="81">
        <f>((F287*G287)+H287)/G287</f>
        <v>236.67600000000002</v>
      </c>
      <c r="J287" s="81">
        <f>I287*G287</f>
        <v>2366.7600000000002</v>
      </c>
      <c r="K287" s="81" cm="1">
        <f t="array" ref="K287">_FV(C287,"Price")</f>
        <v>116.17</v>
      </c>
      <c r="L287" s="76">
        <f>(K287-I287)*G287</f>
        <v>-1205.0600000000002</v>
      </c>
      <c r="M287" s="77">
        <f>L287/J287</f>
        <v>-0.50916020213287361</v>
      </c>
      <c r="N287" s="43" t="s">
        <v>24</v>
      </c>
    </row>
    <row r="288" spans="3:14" x14ac:dyDescent="0.25">
      <c r="C288" s="73">
        <f>F288/F287</f>
        <v>0.86440677966101698</v>
      </c>
      <c r="D288" s="78" t="s">
        <v>10</v>
      </c>
      <c r="E288" s="78" t="s">
        <v>13</v>
      </c>
      <c r="F288" s="81">
        <v>204</v>
      </c>
      <c r="G288" s="81">
        <v>5</v>
      </c>
      <c r="H288" s="81">
        <v>2.88</v>
      </c>
      <c r="I288" s="81">
        <f>((F288*G288)+H288)/G288</f>
        <v>204.57599999999999</v>
      </c>
      <c r="J288" s="81">
        <f>I288*G288</f>
        <v>1022.88</v>
      </c>
      <c r="K288" s="81">
        <f>K287</f>
        <v>116.17</v>
      </c>
      <c r="L288" s="76">
        <f>(K288-I288)*G288</f>
        <v>-442.03</v>
      </c>
      <c r="M288" s="77">
        <f>L288/J288</f>
        <v>-0.43214257781949006</v>
      </c>
      <c r="N288" s="43" t="s">
        <v>25</v>
      </c>
    </row>
    <row r="289" spans="3:14" s="43" customFormat="1" x14ac:dyDescent="0.25">
      <c r="C289" s="439">
        <f>F289/F288</f>
        <v>0.90196078431372551</v>
      </c>
      <c r="D289" s="78" t="s">
        <v>10</v>
      </c>
      <c r="E289" s="78" t="s">
        <v>13</v>
      </c>
      <c r="F289" s="81">
        <v>184</v>
      </c>
      <c r="G289" s="81">
        <v>5</v>
      </c>
      <c r="H289" s="81">
        <v>2.88</v>
      </c>
      <c r="I289" s="81">
        <f>((F289*G289)+H289)/G289</f>
        <v>184.57599999999999</v>
      </c>
      <c r="J289" s="81">
        <f>I289*G289</f>
        <v>922.88</v>
      </c>
      <c r="K289" s="81">
        <f>K288</f>
        <v>116.17</v>
      </c>
      <c r="L289" s="76">
        <f>(K289-I289)*G289</f>
        <v>-342.03</v>
      </c>
      <c r="M289" s="77">
        <f>L289/J289</f>
        <v>-0.37061156380027738</v>
      </c>
      <c r="N289" s="43" t="s">
        <v>26</v>
      </c>
    </row>
    <row r="290" spans="3:14" x14ac:dyDescent="0.25">
      <c r="C290" s="73">
        <f t="shared" ref="C290:C291" si="165">F290/F289</f>
        <v>0.86956521739130432</v>
      </c>
      <c r="D290" s="87" t="s">
        <v>10</v>
      </c>
      <c r="E290" s="87" t="s">
        <v>13</v>
      </c>
      <c r="F290" s="82">
        <v>160</v>
      </c>
      <c r="G290" s="82">
        <v>0</v>
      </c>
      <c r="H290" s="82">
        <v>0</v>
      </c>
      <c r="I290" s="82" t="e">
        <f t="shared" ref="I290:I291" si="166">((F290*G290)+H290)/G290</f>
        <v>#DIV/0!</v>
      </c>
      <c r="J290" s="82" t="e">
        <f t="shared" ref="J290:J291" si="167">I290*G290</f>
        <v>#DIV/0!</v>
      </c>
      <c r="K290" s="82">
        <f t="shared" ref="K290:K291" si="168">K289</f>
        <v>116.17</v>
      </c>
      <c r="L290" s="79" t="e">
        <f t="shared" ref="L290:L291" si="169">(K290-I290)*G290</f>
        <v>#DIV/0!</v>
      </c>
      <c r="M290" s="88" t="e">
        <f t="shared" ref="M290:M291" si="170">L290/J290</f>
        <v>#DIV/0!</v>
      </c>
      <c r="N290" s="89" t="s">
        <v>255</v>
      </c>
    </row>
    <row r="291" spans="3:14" x14ac:dyDescent="0.25">
      <c r="C291" s="73">
        <f t="shared" si="165"/>
        <v>0.15625</v>
      </c>
      <c r="D291" s="87" t="s">
        <v>10</v>
      </c>
      <c r="E291" s="87" t="s">
        <v>13</v>
      </c>
      <c r="F291" s="82">
        <v>25</v>
      </c>
      <c r="G291" s="82">
        <v>0</v>
      </c>
      <c r="H291" s="82">
        <v>0</v>
      </c>
      <c r="I291" s="82" t="e">
        <f t="shared" si="166"/>
        <v>#DIV/0!</v>
      </c>
      <c r="J291" s="82" t="e">
        <f t="shared" si="167"/>
        <v>#DIV/0!</v>
      </c>
      <c r="K291" s="82">
        <f t="shared" si="168"/>
        <v>116.17</v>
      </c>
      <c r="L291" s="79" t="e">
        <f t="shared" si="169"/>
        <v>#DIV/0!</v>
      </c>
      <c r="M291" s="88" t="e">
        <f t="shared" si="170"/>
        <v>#DIV/0!</v>
      </c>
      <c r="N291" s="89" t="s">
        <v>406</v>
      </c>
    </row>
    <row r="292" spans="3:14" x14ac:dyDescent="0.25">
      <c r="D292" s="78" t="s">
        <v>10</v>
      </c>
      <c r="E292" s="78" t="s">
        <v>13</v>
      </c>
      <c r="F292" s="90">
        <f>(F287*G287+F288*G288+F289*G289+F290*G290)/SUM(G287:G290)</f>
        <v>215</v>
      </c>
      <c r="G292" s="81">
        <f>SUM(G287:G290)</f>
        <v>20</v>
      </c>
      <c r="H292" s="81">
        <f>SUM(H287:H290)</f>
        <v>12.52</v>
      </c>
      <c r="I292" s="81">
        <f>((F292*G292)+H292)/G292</f>
        <v>215.62600000000003</v>
      </c>
      <c r="J292" s="81">
        <f>I292*G292</f>
        <v>4312.5200000000004</v>
      </c>
      <c r="K292" s="81">
        <f>K287</f>
        <v>116.17</v>
      </c>
      <c r="L292" s="76">
        <f>(K292-I292)*G292</f>
        <v>-1989.1200000000006</v>
      </c>
      <c r="M292" s="77">
        <f>L292/J292</f>
        <v>-0.46124307829297034</v>
      </c>
      <c r="N292" s="39" t="s">
        <v>5</v>
      </c>
    </row>
    <row r="293" spans="3:14" x14ac:dyDescent="0.25">
      <c r="D293" s="91"/>
      <c r="E293" s="91"/>
      <c r="F293" s="92"/>
      <c r="G293" s="93"/>
      <c r="H293" s="93"/>
      <c r="I293" s="93"/>
      <c r="J293" s="93"/>
      <c r="K293" s="93"/>
      <c r="L293" s="94"/>
      <c r="M293" s="95"/>
    </row>
    <row r="294" spans="3:14" x14ac:dyDescent="0.25">
      <c r="D294" s="91"/>
      <c r="E294" s="91"/>
      <c r="F294" s="92"/>
      <c r="G294" s="93"/>
      <c r="H294" s="93"/>
      <c r="I294" s="93"/>
      <c r="J294" s="93"/>
      <c r="K294" s="93"/>
      <c r="L294" s="94"/>
      <c r="M294" s="95"/>
    </row>
    <row r="295" spans="3:14" x14ac:dyDescent="0.25">
      <c r="C295" s="43" t="e" vm="49">
        <v>#VALUE!</v>
      </c>
      <c r="D295" s="78" t="s">
        <v>10</v>
      </c>
      <c r="E295" s="78" t="s">
        <v>13</v>
      </c>
      <c r="F295" s="81">
        <v>49</v>
      </c>
      <c r="G295" s="81">
        <v>20</v>
      </c>
      <c r="H295" s="81">
        <f>2.88*2+1</f>
        <v>6.76</v>
      </c>
      <c r="I295" s="81">
        <f>((F295*G295)+H295)/G295</f>
        <v>49.338000000000001</v>
      </c>
      <c r="J295" s="81">
        <f>I295*G295</f>
        <v>986.76</v>
      </c>
      <c r="K295" s="81" cm="1">
        <f t="array" ref="K295">_FV(C295,"Price")</f>
        <v>37.76</v>
      </c>
      <c r="L295" s="76">
        <f>(K295-I295)*G295</f>
        <v>-231.56000000000006</v>
      </c>
      <c r="M295" s="77">
        <f>L295/J295</f>
        <v>-0.23466699096031463</v>
      </c>
      <c r="N295" s="43" t="s">
        <v>24</v>
      </c>
    </row>
    <row r="296" spans="3:14" x14ac:dyDescent="0.25">
      <c r="C296" s="73">
        <f>F296/F295</f>
        <v>0.77551020408163263</v>
      </c>
      <c r="D296" s="78" t="s">
        <v>10</v>
      </c>
      <c r="E296" s="78" t="s">
        <v>13</v>
      </c>
      <c r="F296" s="81">
        <v>38</v>
      </c>
      <c r="G296" s="81">
        <v>20</v>
      </c>
      <c r="H296" s="81">
        <v>2.88</v>
      </c>
      <c r="I296" s="81">
        <f>((F296*G296)+H296)/G296</f>
        <v>38.143999999999998</v>
      </c>
      <c r="J296" s="81">
        <f>I296*G296</f>
        <v>762.88</v>
      </c>
      <c r="K296" s="81">
        <f>K295</f>
        <v>37.76</v>
      </c>
      <c r="L296" s="76">
        <f>(K296-I296)*G296</f>
        <v>-7.6800000000000068</v>
      </c>
      <c r="M296" s="77">
        <f>L296/J296</f>
        <v>-1.0067114093959741E-2</v>
      </c>
      <c r="N296" s="43" t="s">
        <v>25</v>
      </c>
    </row>
    <row r="297" spans="3:14" x14ac:dyDescent="0.25">
      <c r="C297" s="73">
        <f>F297/F296</f>
        <v>0.84210526315789469</v>
      </c>
      <c r="D297" s="87" t="s">
        <v>10</v>
      </c>
      <c r="E297" s="87" t="s">
        <v>13</v>
      </c>
      <c r="F297" s="82">
        <v>32</v>
      </c>
      <c r="G297" s="82">
        <v>0</v>
      </c>
      <c r="H297" s="82">
        <v>0</v>
      </c>
      <c r="I297" s="82" t="e">
        <f>((F297*G297)+H297)/G297</f>
        <v>#DIV/0!</v>
      </c>
      <c r="J297" s="82" t="e">
        <f>I297*G297</f>
        <v>#DIV/0!</v>
      </c>
      <c r="K297" s="82">
        <f>K296</f>
        <v>37.76</v>
      </c>
      <c r="L297" s="79" t="e">
        <f>(K297-I297)*G297</f>
        <v>#DIV/0!</v>
      </c>
      <c r="M297" s="88" t="e">
        <f>L297/J297</f>
        <v>#DIV/0!</v>
      </c>
      <c r="N297" s="89" t="s">
        <v>26</v>
      </c>
    </row>
    <row r="298" spans="3:14" x14ac:dyDescent="0.25">
      <c r="C298" s="73">
        <f t="shared" ref="C298:C299" si="171">F298/F297</f>
        <v>0.78125</v>
      </c>
      <c r="D298" s="87" t="s">
        <v>10</v>
      </c>
      <c r="E298" s="87" t="s">
        <v>13</v>
      </c>
      <c r="F298" s="82">
        <v>25</v>
      </c>
      <c r="G298" s="82">
        <v>0</v>
      </c>
      <c r="H298" s="82">
        <v>0</v>
      </c>
      <c r="I298" s="82" t="e">
        <f t="shared" ref="I298:I299" si="172">((F298*G298)+H298)/G298</f>
        <v>#DIV/0!</v>
      </c>
      <c r="J298" s="82" t="e">
        <f t="shared" ref="J298:J299" si="173">I298*G298</f>
        <v>#DIV/0!</v>
      </c>
      <c r="K298" s="82">
        <f t="shared" ref="K298:K299" si="174">K297</f>
        <v>37.76</v>
      </c>
      <c r="L298" s="79" t="e">
        <f t="shared" ref="L298:L299" si="175">(K298-I298)*G298</f>
        <v>#DIV/0!</v>
      </c>
      <c r="M298" s="88" t="e">
        <f t="shared" ref="M298:M299" si="176">L298/J298</f>
        <v>#DIV/0!</v>
      </c>
      <c r="N298" s="89" t="s">
        <v>255</v>
      </c>
    </row>
    <row r="299" spans="3:14" x14ac:dyDescent="0.25">
      <c r="C299" s="73">
        <f t="shared" si="171"/>
        <v>0.8</v>
      </c>
      <c r="D299" s="87" t="s">
        <v>10</v>
      </c>
      <c r="E299" s="87" t="s">
        <v>13</v>
      </c>
      <c r="F299" s="82">
        <v>20</v>
      </c>
      <c r="G299" s="82">
        <v>0</v>
      </c>
      <c r="H299" s="82">
        <v>0</v>
      </c>
      <c r="I299" s="82" t="e">
        <f t="shared" si="172"/>
        <v>#DIV/0!</v>
      </c>
      <c r="J299" s="82" t="e">
        <f t="shared" si="173"/>
        <v>#DIV/0!</v>
      </c>
      <c r="K299" s="82">
        <f t="shared" si="174"/>
        <v>37.76</v>
      </c>
      <c r="L299" s="79" t="e">
        <f t="shared" si="175"/>
        <v>#DIV/0!</v>
      </c>
      <c r="M299" s="88" t="e">
        <f t="shared" si="176"/>
        <v>#DIV/0!</v>
      </c>
      <c r="N299" s="89" t="s">
        <v>406</v>
      </c>
    </row>
    <row r="300" spans="3:14" x14ac:dyDescent="0.25">
      <c r="D300" s="78" t="s">
        <v>10</v>
      </c>
      <c r="E300" s="78" t="s">
        <v>13</v>
      </c>
      <c r="F300" s="90">
        <f>(F295*G295+F296*G296+F297*G297+F298*G298)/SUM(G295:G298)</f>
        <v>43.5</v>
      </c>
      <c r="G300" s="81">
        <f>SUM(G295:G298)</f>
        <v>40</v>
      </c>
      <c r="H300" s="81">
        <f>SUM(H295:H298)</f>
        <v>9.64</v>
      </c>
      <c r="I300" s="81">
        <f>((F300*G300)+H300)/G300</f>
        <v>43.741</v>
      </c>
      <c r="J300" s="81">
        <f>I300*G300</f>
        <v>1749.6399999999999</v>
      </c>
      <c r="K300" s="81">
        <f>K295</f>
        <v>37.76</v>
      </c>
      <c r="L300" s="76">
        <f>(K300-I300)*G300</f>
        <v>-239.24000000000007</v>
      </c>
      <c r="M300" s="77">
        <f>L300/J300</f>
        <v>-0.13673670012116784</v>
      </c>
      <c r="N300" s="39" t="s">
        <v>5</v>
      </c>
    </row>
    <row r="301" spans="3:14" x14ac:dyDescent="0.25">
      <c r="D301" s="91"/>
      <c r="E301" s="91"/>
      <c r="F301" s="92"/>
      <c r="G301" s="93"/>
      <c r="H301" s="93"/>
      <c r="I301" s="93"/>
      <c r="J301" s="93"/>
      <c r="K301" s="93"/>
      <c r="L301" s="94"/>
      <c r="M301" s="95"/>
    </row>
    <row r="302" spans="3:14" x14ac:dyDescent="0.25">
      <c r="D302" s="91"/>
      <c r="E302" s="91"/>
      <c r="F302" s="92"/>
      <c r="G302" s="93"/>
      <c r="H302" s="93"/>
      <c r="I302" s="93"/>
      <c r="J302" s="93"/>
      <c r="K302" s="93"/>
      <c r="L302" s="94"/>
      <c r="M302" s="95"/>
    </row>
    <row r="303" spans="3:14" x14ac:dyDescent="0.25">
      <c r="D303" s="91"/>
      <c r="E303" s="91"/>
      <c r="F303" s="92"/>
      <c r="G303" s="93"/>
      <c r="H303" s="93"/>
      <c r="I303" s="93"/>
      <c r="J303" s="93"/>
      <c r="K303" s="93"/>
      <c r="L303" s="94"/>
      <c r="M303" s="95"/>
    </row>
    <row r="304" spans="3:14" x14ac:dyDescent="0.25">
      <c r="D304" s="91"/>
      <c r="E304" s="91"/>
      <c r="F304" s="92"/>
      <c r="G304" s="93"/>
      <c r="H304" s="93"/>
      <c r="I304" s="93"/>
      <c r="J304" s="93"/>
      <c r="K304" s="93"/>
      <c r="L304" s="94"/>
      <c r="M304" s="95"/>
    </row>
    <row r="306" spans="2:14" x14ac:dyDescent="0.25">
      <c r="C306" s="149"/>
    </row>
    <row r="307" spans="2:14" x14ac:dyDescent="0.25">
      <c r="B307" s="162" t="s">
        <v>57</v>
      </c>
      <c r="K307" s="162" t="s">
        <v>84</v>
      </c>
    </row>
    <row r="308" spans="2:14" x14ac:dyDescent="0.25">
      <c r="B308" s="250" t="s">
        <v>50</v>
      </c>
      <c r="C308" s="250" t="s">
        <v>0</v>
      </c>
      <c r="D308" s="251" t="s">
        <v>36</v>
      </c>
      <c r="E308" s="251" t="s">
        <v>15</v>
      </c>
      <c r="F308" s="251" t="s">
        <v>75</v>
      </c>
      <c r="G308" s="251" t="s">
        <v>49</v>
      </c>
      <c r="H308" s="252" t="s">
        <v>30</v>
      </c>
      <c r="I308" s="253" t="s">
        <v>77</v>
      </c>
      <c r="K308" s="257" t="s">
        <v>50</v>
      </c>
      <c r="L308" s="257" t="s">
        <v>0</v>
      </c>
      <c r="M308" s="258" t="s">
        <v>30</v>
      </c>
      <c r="N308" s="192" t="s">
        <v>180</v>
      </c>
    </row>
    <row r="309" spans="2:14" x14ac:dyDescent="0.25">
      <c r="B309" s="486">
        <v>1</v>
      </c>
      <c r="C309" s="307" t="e" vm="56">
        <v>#VALUE!</v>
      </c>
      <c r="D309" s="308" t="s">
        <v>38</v>
      </c>
      <c r="E309" s="200">
        <f>J244</f>
        <v>28114.640000000007</v>
      </c>
      <c r="F309" s="63" t="e">
        <f t="shared" ref="F309:F312" si="177">E309/$E$319</f>
        <v>#DIV/0!</v>
      </c>
      <c r="G309" s="63">
        <f t="shared" ref="G309:G312" si="178">E309/$D$3</f>
        <v>0.9443048265634183</v>
      </c>
      <c r="H309" s="200">
        <f>L244</f>
        <v>-9214.6400000000049</v>
      </c>
      <c r="I309" s="303">
        <f>Table3[[#This Row],[P/L]]/Table3[[#This Row],[Investment]]</f>
        <v>-0.32775237385219952</v>
      </c>
      <c r="K309" s="519">
        <v>1</v>
      </c>
      <c r="L309" s="520" t="s">
        <v>340</v>
      </c>
      <c r="M309" s="521">
        <v>3343.4399999999996</v>
      </c>
      <c r="N309" s="46" t="s">
        <v>127</v>
      </c>
    </row>
    <row r="310" spans="2:14" x14ac:dyDescent="0.25">
      <c r="B310" s="254">
        <v>2</v>
      </c>
      <c r="C310" s="487" t="e" vm="57">
        <v>#VALUE!</v>
      </c>
      <c r="D310" s="308" t="s">
        <v>39</v>
      </c>
      <c r="E310" s="200">
        <f>$J$236</f>
        <v>7337.7599999999993</v>
      </c>
      <c r="F310" s="63" t="e">
        <f t="shared" si="177"/>
        <v>#DIV/0!</v>
      </c>
      <c r="G310" s="63">
        <f t="shared" si="178"/>
        <v>0.24645815077710351</v>
      </c>
      <c r="H310" s="200">
        <f>$L$236</f>
        <v>957.23999999999978</v>
      </c>
      <c r="I310" s="303">
        <f>Table3[[#This Row],[P/L]]/Table3[[#This Row],[Investment]]</f>
        <v>0.13045398050631254</v>
      </c>
      <c r="K310" s="519">
        <v>2</v>
      </c>
      <c r="L310" s="520" t="s">
        <v>85</v>
      </c>
      <c r="M310" s="521">
        <v>2120.1599999999962</v>
      </c>
      <c r="N310" s="46" t="s">
        <v>127</v>
      </c>
    </row>
    <row r="311" spans="2:14" x14ac:dyDescent="0.25">
      <c r="B311" s="486">
        <v>3</v>
      </c>
      <c r="C311" s="78" t="e" vm="14">
        <v>#VALUE!</v>
      </c>
      <c r="D311" s="306" t="s">
        <v>37</v>
      </c>
      <c r="E311" s="200" t="e">
        <f>J250</f>
        <v>#DIV/0!</v>
      </c>
      <c r="F311" s="63" t="e">
        <f t="shared" si="177"/>
        <v>#DIV/0!</v>
      </c>
      <c r="G311" s="63" t="e">
        <f t="shared" si="178"/>
        <v>#DIV/0!</v>
      </c>
      <c r="H311" s="200" t="e">
        <f>L250</f>
        <v>#DIV/0!</v>
      </c>
      <c r="I311" s="303" t="e">
        <f>Table3[[#This Row],[P/L]]/Table3[[#This Row],[Investment]]</f>
        <v>#DIV/0!</v>
      </c>
      <c r="K311" s="519">
        <v>3</v>
      </c>
      <c r="L311" s="520" t="s">
        <v>101</v>
      </c>
      <c r="M311" s="521">
        <v>1644.829999999999</v>
      </c>
      <c r="N311" s="46" t="s">
        <v>127</v>
      </c>
    </row>
    <row r="312" spans="2:14" x14ac:dyDescent="0.25">
      <c r="B312" s="254">
        <v>4</v>
      </c>
      <c r="C312" s="43" t="e" vm="38">
        <v>#VALUE!</v>
      </c>
      <c r="D312" s="306" t="s">
        <v>37</v>
      </c>
      <c r="E312" s="200">
        <f>J259</f>
        <v>10501.64</v>
      </c>
      <c r="F312" s="63" t="e">
        <f t="shared" si="177"/>
        <v>#DIV/0!</v>
      </c>
      <c r="G312" s="63">
        <f t="shared" si="178"/>
        <v>0.35272546043027592</v>
      </c>
      <c r="H312" s="200">
        <f>L259</f>
        <v>-1621.6399999999999</v>
      </c>
      <c r="I312" s="303">
        <f>Table3[[#This Row],[P/L]]/Table3[[#This Row],[Investment]]</f>
        <v>-0.1544177861743499</v>
      </c>
      <c r="K312" s="519">
        <v>4</v>
      </c>
      <c r="L312" s="520" t="s">
        <v>106</v>
      </c>
      <c r="M312" s="521">
        <v>1469.0799999999995</v>
      </c>
      <c r="N312" s="46" t="s">
        <v>166</v>
      </c>
    </row>
    <row r="313" spans="2:14" x14ac:dyDescent="0.25">
      <c r="B313" s="248"/>
      <c r="C313" s="132"/>
      <c r="D313" s="206"/>
      <c r="E313" s="203"/>
      <c r="F313" s="97"/>
      <c r="G313" s="143"/>
      <c r="H313" s="203"/>
      <c r="I313" s="249"/>
      <c r="K313" s="519">
        <v>5</v>
      </c>
      <c r="L313" s="520" t="s">
        <v>94</v>
      </c>
      <c r="M313" s="521">
        <v>1001.000000000008</v>
      </c>
      <c r="N313" s="46" t="s">
        <v>127</v>
      </c>
    </row>
    <row r="314" spans="2:14" x14ac:dyDescent="0.25">
      <c r="B314" s="248"/>
      <c r="C314" s="482"/>
      <c r="D314" s="206"/>
      <c r="E314" s="203"/>
      <c r="F314" s="97"/>
      <c r="G314" s="143"/>
      <c r="H314" s="203"/>
      <c r="I314" s="249"/>
      <c r="K314" s="519">
        <v>6</v>
      </c>
      <c r="L314" s="520" t="s">
        <v>111</v>
      </c>
      <c r="M314" s="522">
        <v>804.6800000000012</v>
      </c>
      <c r="N314" s="46" t="s">
        <v>166</v>
      </c>
    </row>
    <row r="315" spans="2:14" x14ac:dyDescent="0.25">
      <c r="B315" s="248"/>
      <c r="C315" s="482"/>
      <c r="D315" s="206"/>
      <c r="E315" s="203"/>
      <c r="F315" s="97"/>
      <c r="G315" s="143"/>
      <c r="H315" s="203"/>
      <c r="I315" s="249"/>
      <c r="K315" s="519">
        <v>7</v>
      </c>
      <c r="L315" s="520" t="s">
        <v>91</v>
      </c>
      <c r="M315" s="521">
        <v>665.48</v>
      </c>
      <c r="N315" s="46" t="s">
        <v>127</v>
      </c>
    </row>
    <row r="316" spans="2:14" x14ac:dyDescent="0.25">
      <c r="B316" s="248"/>
      <c r="C316" s="482"/>
      <c r="D316" s="206"/>
      <c r="E316" s="203"/>
      <c r="F316" s="97"/>
      <c r="G316" s="143"/>
      <c r="H316" s="203"/>
      <c r="I316" s="249"/>
      <c r="K316" s="519">
        <v>8</v>
      </c>
      <c r="L316" s="520" t="s">
        <v>96</v>
      </c>
      <c r="M316" s="521">
        <v>419.52</v>
      </c>
      <c r="N316" s="46" t="s">
        <v>166</v>
      </c>
    </row>
    <row r="317" spans="2:14" x14ac:dyDescent="0.25">
      <c r="B317" s="248"/>
      <c r="C317" s="132"/>
      <c r="D317" s="206"/>
      <c r="E317" s="203"/>
      <c r="F317" s="97"/>
      <c r="G317" s="143"/>
      <c r="H317" s="203"/>
      <c r="I317" s="249"/>
      <c r="K317" s="519">
        <v>9</v>
      </c>
      <c r="L317" s="520" t="s">
        <v>104</v>
      </c>
      <c r="M317" s="521">
        <v>416.72</v>
      </c>
      <c r="N317" s="46" t="s">
        <v>127</v>
      </c>
    </row>
    <row r="318" spans="2:14" x14ac:dyDescent="0.25">
      <c r="B318" s="46"/>
      <c r="C318" s="78"/>
      <c r="D318" s="207"/>
      <c r="E318" s="194"/>
      <c r="F318" s="144"/>
      <c r="G318" s="144"/>
      <c r="H318" s="194"/>
      <c r="I318" s="303"/>
      <c r="K318" s="519">
        <v>10</v>
      </c>
      <c r="L318" s="520" t="s">
        <v>97</v>
      </c>
      <c r="M318" s="521">
        <v>371.61000000000007</v>
      </c>
      <c r="N318" s="46" t="s">
        <v>166</v>
      </c>
    </row>
    <row r="319" spans="2:14" x14ac:dyDescent="0.25">
      <c r="B319" s="59"/>
      <c r="C319" s="248" t="s">
        <v>5</v>
      </c>
      <c r="D319" s="254"/>
      <c r="E319" s="205" t="e">
        <f>SUM(E309:E317)</f>
        <v>#DIV/0!</v>
      </c>
      <c r="F319" s="146" t="e">
        <f>SUM(F309:F318)</f>
        <v>#DIV/0!</v>
      </c>
      <c r="G319" s="255" t="e">
        <f>E319/$D$3</f>
        <v>#DIV/0!</v>
      </c>
      <c r="H319" s="205" t="e">
        <f>SUM(H309:H317)</f>
        <v>#DIV/0!</v>
      </c>
      <c r="I319" s="256" t="e">
        <f>H319/E319</f>
        <v>#DIV/0!</v>
      </c>
      <c r="K319" s="519">
        <v>11</v>
      </c>
      <c r="L319" s="520" t="s">
        <v>92</v>
      </c>
      <c r="M319" s="521">
        <v>323.7399999999999</v>
      </c>
      <c r="N319" s="46" t="s">
        <v>127</v>
      </c>
    </row>
    <row r="320" spans="2:14" x14ac:dyDescent="0.25">
      <c r="B320" s="96"/>
      <c r="C320" s="98"/>
      <c r="D320" s="208"/>
      <c r="E320" s="204"/>
      <c r="F320" s="147"/>
      <c r="G320" s="148"/>
      <c r="K320" s="519">
        <v>12</v>
      </c>
      <c r="L320" s="520" t="s">
        <v>86</v>
      </c>
      <c r="M320" s="521">
        <v>289.32439844760535</v>
      </c>
      <c r="N320" s="46" t="s">
        <v>166</v>
      </c>
    </row>
    <row r="321" spans="2:14" x14ac:dyDescent="0.25">
      <c r="B321" s="61"/>
      <c r="C321" s="145" t="s">
        <v>29</v>
      </c>
      <c r="D321" s="209"/>
      <c r="E321" s="205" t="e">
        <f>D3-E319</f>
        <v>#DIV/0!</v>
      </c>
      <c r="F321" s="146"/>
      <c r="G321" s="146" t="e">
        <f>E321/$D$3</f>
        <v>#DIV/0!</v>
      </c>
      <c r="K321" s="519">
        <v>13</v>
      </c>
      <c r="L321" s="520" t="s">
        <v>105</v>
      </c>
      <c r="M321" s="521">
        <v>269.48000000000008</v>
      </c>
      <c r="N321" s="46" t="s">
        <v>127</v>
      </c>
    </row>
    <row r="322" spans="2:14" x14ac:dyDescent="0.25">
      <c r="D322" s="153"/>
      <c r="K322" s="519">
        <v>14</v>
      </c>
      <c r="L322" s="520" t="s">
        <v>114</v>
      </c>
      <c r="M322" s="522">
        <v>238.66287179487179</v>
      </c>
      <c r="N322" s="46" t="s">
        <v>166</v>
      </c>
    </row>
    <row r="323" spans="2:14" x14ac:dyDescent="0.25">
      <c r="C323" s="57" t="s">
        <v>36</v>
      </c>
      <c r="D323" s="210" t="s">
        <v>37</v>
      </c>
      <c r="E323" s="58" t="e">
        <f>G311+G312</f>
        <v>#DIV/0!</v>
      </c>
      <c r="F323" s="488">
        <v>2</v>
      </c>
      <c r="G323" s="54"/>
      <c r="H323" s="54"/>
      <c r="K323" s="519">
        <v>15</v>
      </c>
      <c r="L323" s="523" t="s">
        <v>294</v>
      </c>
      <c r="M323" s="524">
        <v>222.95999999999623</v>
      </c>
      <c r="N323" s="46" t="s">
        <v>166</v>
      </c>
    </row>
    <row r="324" spans="2:14" x14ac:dyDescent="0.25">
      <c r="C324" s="59"/>
      <c r="D324" s="206" t="s">
        <v>38</v>
      </c>
      <c r="E324" s="60">
        <f>G309</f>
        <v>0.9443048265634183</v>
      </c>
      <c r="F324" s="203">
        <v>1</v>
      </c>
      <c r="G324" s="54"/>
      <c r="H324" s="54"/>
      <c r="K324" s="519">
        <v>16</v>
      </c>
      <c r="L324" s="523" t="s">
        <v>394</v>
      </c>
      <c r="M324" s="524">
        <v>197.4800000000009</v>
      </c>
      <c r="N324" s="46" t="s">
        <v>127</v>
      </c>
    </row>
    <row r="325" spans="2:14" x14ac:dyDescent="0.25">
      <c r="C325" s="61"/>
      <c r="D325" s="211" t="s">
        <v>39</v>
      </c>
      <c r="E325" s="62">
        <f>G310</f>
        <v>0.24645815077710351</v>
      </c>
      <c r="F325" s="194">
        <v>1</v>
      </c>
      <c r="G325" s="54"/>
      <c r="H325" s="54"/>
      <c r="K325" s="519">
        <v>17</v>
      </c>
      <c r="L325" s="520" t="s">
        <v>107</v>
      </c>
      <c r="M325" s="522">
        <v>182.24</v>
      </c>
      <c r="N325" s="46" t="s">
        <v>127</v>
      </c>
    </row>
    <row r="326" spans="2:14" x14ac:dyDescent="0.25">
      <c r="D326" s="134"/>
      <c r="E326" s="135" t="e">
        <f>SUM(E323:E325)</f>
        <v>#DIV/0!</v>
      </c>
      <c r="F326" s="430">
        <f>SUM(F323:F325)</f>
        <v>4</v>
      </c>
      <c r="G326" s="54"/>
      <c r="H326" s="54"/>
      <c r="K326" s="519">
        <v>18</v>
      </c>
      <c r="L326" s="520" t="s">
        <v>98</v>
      </c>
      <c r="M326" s="521">
        <v>156.76000000000005</v>
      </c>
      <c r="N326" s="46" t="s">
        <v>127</v>
      </c>
    </row>
    <row r="327" spans="2:14" x14ac:dyDescent="0.25">
      <c r="D327" s="134"/>
      <c r="E327" s="135"/>
      <c r="F327" s="54"/>
      <c r="G327" s="54"/>
      <c r="H327" s="54"/>
      <c r="K327" s="519">
        <v>19</v>
      </c>
      <c r="L327" s="523" t="s">
        <v>297</v>
      </c>
      <c r="M327" s="524">
        <v>150</v>
      </c>
      <c r="N327" s="46" t="s">
        <v>166</v>
      </c>
    </row>
    <row r="328" spans="2:14" x14ac:dyDescent="0.25">
      <c r="K328" s="519">
        <v>20</v>
      </c>
      <c r="L328" s="520" t="s">
        <v>119</v>
      </c>
      <c r="M328" s="521">
        <v>105.99942307692299</v>
      </c>
      <c r="N328" s="46" t="s">
        <v>166</v>
      </c>
    </row>
    <row r="329" spans="2:14" x14ac:dyDescent="0.25">
      <c r="K329" s="519">
        <v>21</v>
      </c>
      <c r="L329" s="520" t="s">
        <v>95</v>
      </c>
      <c r="M329" s="521">
        <v>102.72000000000006</v>
      </c>
      <c r="N329" s="46" t="s">
        <v>127</v>
      </c>
    </row>
    <row r="330" spans="2:14" x14ac:dyDescent="0.25">
      <c r="K330" s="519">
        <v>22</v>
      </c>
      <c r="L330" s="520" t="s">
        <v>109</v>
      </c>
      <c r="M330" s="521">
        <v>94.240000000000066</v>
      </c>
      <c r="N330" s="46" t="s">
        <v>127</v>
      </c>
    </row>
    <row r="331" spans="2:14" x14ac:dyDescent="0.25">
      <c r="K331" s="519">
        <v>23</v>
      </c>
      <c r="L331" s="520" t="s">
        <v>102</v>
      </c>
      <c r="M331" s="521">
        <v>88.46000000000015</v>
      </c>
      <c r="N331" s="46" t="s">
        <v>127</v>
      </c>
    </row>
    <row r="332" spans="2:14" x14ac:dyDescent="0.25">
      <c r="K332" s="519">
        <v>24</v>
      </c>
      <c r="L332" s="520" t="s">
        <v>103</v>
      </c>
      <c r="M332" s="521">
        <v>82.74000000000008</v>
      </c>
      <c r="N332" s="46" t="s">
        <v>127</v>
      </c>
    </row>
    <row r="333" spans="2:14" x14ac:dyDescent="0.25">
      <c r="K333" s="519">
        <v>25</v>
      </c>
      <c r="L333" s="520" t="s">
        <v>163</v>
      </c>
      <c r="M333" s="521">
        <v>62.479999999999478</v>
      </c>
      <c r="N333" s="46" t="s">
        <v>127</v>
      </c>
    </row>
    <row r="334" spans="2:14" x14ac:dyDescent="0.25">
      <c r="K334" s="519">
        <v>26</v>
      </c>
      <c r="L334" s="520" t="s">
        <v>99</v>
      </c>
      <c r="M334" s="521">
        <v>62.240000000000009</v>
      </c>
      <c r="N334" s="46" t="s">
        <v>166</v>
      </c>
    </row>
    <row r="335" spans="2:14" x14ac:dyDescent="0.25">
      <c r="K335" s="519">
        <v>27</v>
      </c>
      <c r="L335" s="520" t="s">
        <v>93</v>
      </c>
      <c r="M335" s="521">
        <v>59.639999999999986</v>
      </c>
      <c r="N335" s="46" t="s">
        <v>127</v>
      </c>
    </row>
    <row r="336" spans="2:14" x14ac:dyDescent="0.25">
      <c r="K336" s="519">
        <v>28</v>
      </c>
      <c r="L336" s="520" t="s">
        <v>108</v>
      </c>
      <c r="M336" s="521">
        <v>57.24</v>
      </c>
      <c r="N336" s="46" t="s">
        <v>166</v>
      </c>
    </row>
    <row r="337" spans="11:14" x14ac:dyDescent="0.25">
      <c r="K337" s="519">
        <v>29</v>
      </c>
      <c r="L337" s="520" t="s">
        <v>100</v>
      </c>
      <c r="M337" s="521">
        <v>43.740000000000059</v>
      </c>
      <c r="N337" s="46" t="s">
        <v>127</v>
      </c>
    </row>
    <row r="338" spans="11:14" x14ac:dyDescent="0.25">
      <c r="K338" s="519">
        <v>30</v>
      </c>
      <c r="L338" s="520" t="s">
        <v>144</v>
      </c>
      <c r="M338" s="521">
        <v>37.240000000000038</v>
      </c>
      <c r="N338" s="46" t="s">
        <v>127</v>
      </c>
    </row>
    <row r="339" spans="11:14" x14ac:dyDescent="0.25">
      <c r="K339" s="519">
        <v>31</v>
      </c>
      <c r="L339" s="520" t="s">
        <v>110</v>
      </c>
      <c r="M339" s="522">
        <v>34.240000000000009</v>
      </c>
      <c r="N339" s="46" t="s">
        <v>127</v>
      </c>
    </row>
    <row r="340" spans="11:14" x14ac:dyDescent="0.25">
      <c r="K340" s="519">
        <v>32</v>
      </c>
      <c r="L340" s="520" t="s">
        <v>89</v>
      </c>
      <c r="M340" s="521">
        <v>28.740000000000059</v>
      </c>
      <c r="N340" s="46" t="s">
        <v>127</v>
      </c>
    </row>
    <row r="341" spans="11:14" x14ac:dyDescent="0.25">
      <c r="K341" s="519">
        <v>33</v>
      </c>
      <c r="L341" s="520" t="s">
        <v>146</v>
      </c>
      <c r="M341" s="521">
        <v>23.660000000000082</v>
      </c>
      <c r="N341" s="46" t="s">
        <v>127</v>
      </c>
    </row>
    <row r="342" spans="11:14" x14ac:dyDescent="0.25">
      <c r="K342" s="519">
        <v>34</v>
      </c>
      <c r="L342" s="520" t="s">
        <v>87</v>
      </c>
      <c r="M342" s="521">
        <v>16.701538461538423</v>
      </c>
      <c r="N342" s="46" t="s">
        <v>166</v>
      </c>
    </row>
    <row r="343" spans="11:14" x14ac:dyDescent="0.25">
      <c r="K343" s="519">
        <v>35</v>
      </c>
      <c r="L343" s="520" t="s">
        <v>90</v>
      </c>
      <c r="M343" s="521">
        <v>6.4683053040103262</v>
      </c>
      <c r="N343" s="46" t="s">
        <v>166</v>
      </c>
    </row>
    <row r="344" spans="11:14" x14ac:dyDescent="0.25">
      <c r="K344" s="519">
        <v>36</v>
      </c>
      <c r="L344" s="523" t="s">
        <v>391</v>
      </c>
      <c r="M344" s="524">
        <v>6.4399999999995998</v>
      </c>
      <c r="N344" s="46" t="s">
        <v>127</v>
      </c>
    </row>
    <row r="345" spans="11:14" x14ac:dyDescent="0.25">
      <c r="K345" s="519">
        <v>37</v>
      </c>
      <c r="L345" s="520" t="s">
        <v>145</v>
      </c>
      <c r="M345" s="521">
        <v>5.9400000000000119</v>
      </c>
      <c r="N345" s="46" t="s">
        <v>166</v>
      </c>
    </row>
    <row r="346" spans="11:14" x14ac:dyDescent="0.25">
      <c r="K346" s="519">
        <v>38</v>
      </c>
      <c r="L346" s="520" t="s">
        <v>227</v>
      </c>
      <c r="M346" s="525">
        <v>-16.639999999999986</v>
      </c>
      <c r="N346" s="46" t="s">
        <v>127</v>
      </c>
    </row>
    <row r="347" spans="11:14" x14ac:dyDescent="0.25">
      <c r="K347" s="519">
        <v>39</v>
      </c>
      <c r="L347" s="520" t="s">
        <v>88</v>
      </c>
      <c r="M347" s="525">
        <v>-55.279999999999916</v>
      </c>
      <c r="N347" s="46" t="s">
        <v>127</v>
      </c>
    </row>
    <row r="348" spans="11:14" x14ac:dyDescent="0.25">
      <c r="K348" s="519">
        <v>40</v>
      </c>
      <c r="L348" s="523" t="s">
        <v>392</v>
      </c>
      <c r="M348" s="526">
        <v>-68.520000000000181</v>
      </c>
      <c r="N348" s="46" t="s">
        <v>166</v>
      </c>
    </row>
    <row r="349" spans="11:14" x14ac:dyDescent="0.25">
      <c r="K349" s="519">
        <v>41</v>
      </c>
      <c r="L349" s="520" t="s">
        <v>165</v>
      </c>
      <c r="M349" s="525">
        <v>-106.16000000000014</v>
      </c>
      <c r="N349" s="46" t="s">
        <v>127</v>
      </c>
    </row>
    <row r="350" spans="11:14" x14ac:dyDescent="0.25">
      <c r="K350" s="519">
        <v>42</v>
      </c>
      <c r="L350" s="520" t="s">
        <v>228</v>
      </c>
      <c r="M350" s="525">
        <v>-158.56000000000023</v>
      </c>
      <c r="N350" s="46" t="s">
        <v>127</v>
      </c>
    </row>
    <row r="351" spans="11:14" x14ac:dyDescent="0.25">
      <c r="K351" s="519">
        <v>43</v>
      </c>
      <c r="L351" s="523" t="s">
        <v>393</v>
      </c>
      <c r="M351" s="526">
        <v>-342.20821538461524</v>
      </c>
      <c r="N351" s="46" t="s">
        <v>166</v>
      </c>
    </row>
    <row r="352" spans="11:14" x14ac:dyDescent="0.25">
      <c r="K352" s="519">
        <v>44</v>
      </c>
      <c r="L352" s="523" t="s">
        <v>309</v>
      </c>
      <c r="M352" s="526">
        <v>-456.63999999999874</v>
      </c>
      <c r="N352" s="46" t="s">
        <v>166</v>
      </c>
    </row>
    <row r="353" spans="11:14" x14ac:dyDescent="0.25">
      <c r="K353" s="519"/>
      <c r="L353" s="520"/>
      <c r="M353" s="521"/>
      <c r="N353" s="46"/>
    </row>
    <row r="354" spans="11:14" x14ac:dyDescent="0.25">
      <c r="K354" s="516" t="s">
        <v>5</v>
      </c>
      <c r="L354" s="517"/>
      <c r="M354" s="518">
        <f>SUM(M309:M353)</f>
        <v>14002.088321700328</v>
      </c>
    </row>
    <row r="356" spans="11:14" x14ac:dyDescent="0.25">
      <c r="M356" s="262"/>
    </row>
  </sheetData>
  <mergeCells count="6">
    <mergeCell ref="B208:C208"/>
    <mergeCell ref="B28:C28"/>
    <mergeCell ref="G16:H16"/>
    <mergeCell ref="L16:M16"/>
    <mergeCell ref="L3:Q3"/>
    <mergeCell ref="J3:K3"/>
  </mergeCells>
  <phoneticPr fontId="5" type="noConversion"/>
  <pageMargins left="0.7" right="0.7" top="0.75" bottom="0.75" header="0.3" footer="0.3"/>
  <pageSetup paperSize="9" orientation="portrait" horizontalDpi="300" verticalDpi="300"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A368-D36B-4780-860A-5A0E7D711435}">
  <dimension ref="B3:X238"/>
  <sheetViews>
    <sheetView showGridLines="0" topLeftCell="A78" zoomScale="60" zoomScaleNormal="60" workbookViewId="0">
      <selection activeCell="B201" sqref="B201"/>
    </sheetView>
  </sheetViews>
  <sheetFormatPr defaultColWidth="8.85546875" defaultRowHeight="15" x14ac:dyDescent="0.25"/>
  <cols>
    <col min="1" max="1" width="8.85546875" style="39"/>
    <col min="2" max="2" width="11.5703125" style="39" bestFit="1" customWidth="1"/>
    <col min="3" max="3" width="65.5703125" style="39" bestFit="1" customWidth="1"/>
    <col min="4" max="4" width="14.85546875" style="39" bestFit="1" customWidth="1"/>
    <col min="5" max="5" width="16.42578125" style="39" bestFit="1" customWidth="1"/>
    <col min="6" max="7" width="16.5703125" style="39" bestFit="1" customWidth="1"/>
    <col min="8" max="8" width="16.28515625" style="39" bestFit="1" customWidth="1"/>
    <col min="9" max="10" width="20.42578125" style="39" bestFit="1" customWidth="1"/>
    <col min="11" max="11" width="23.7109375" style="39" bestFit="1" customWidth="1"/>
    <col min="12" max="12" width="20.140625" style="39" bestFit="1" customWidth="1"/>
    <col min="13" max="13" width="21.5703125" style="39" bestFit="1" customWidth="1"/>
    <col min="14" max="14" width="16.5703125" style="39" bestFit="1" customWidth="1"/>
    <col min="15" max="15" width="18.7109375" style="39" bestFit="1" customWidth="1"/>
    <col min="16" max="16" width="19.85546875" style="39" customWidth="1"/>
    <col min="17" max="17" width="19.5703125" style="39" bestFit="1" customWidth="1"/>
    <col min="18" max="18" width="18.28515625" style="39" bestFit="1" customWidth="1"/>
    <col min="19" max="19" width="17.7109375" style="39" bestFit="1" customWidth="1"/>
    <col min="20" max="20" width="16.28515625" style="39" bestFit="1" customWidth="1"/>
    <col min="21" max="21" width="19.5703125" style="39" bestFit="1" customWidth="1"/>
    <col min="22" max="24" width="8" style="39" bestFit="1" customWidth="1"/>
    <col min="25" max="26" width="7.140625" style="39" bestFit="1" customWidth="1"/>
    <col min="27" max="27" width="14.42578125" style="39" bestFit="1" customWidth="1"/>
    <col min="28" max="28" width="8.140625" style="39" bestFit="1" customWidth="1"/>
    <col min="29" max="16384" width="8.85546875" style="39"/>
  </cols>
  <sheetData>
    <row r="3" spans="3:20" ht="26.25" x14ac:dyDescent="0.25">
      <c r="C3" s="549" t="s">
        <v>431</v>
      </c>
      <c r="D3" s="548">
        <f>D6+G6</f>
        <v>5239.2215128205235</v>
      </c>
    </row>
    <row r="4" spans="3:20" x14ac:dyDescent="0.25">
      <c r="F4" s="153" t="s">
        <v>19</v>
      </c>
    </row>
    <row r="5" spans="3:20" x14ac:dyDescent="0.25">
      <c r="C5" s="344" t="s">
        <v>58</v>
      </c>
      <c r="D5" s="372">
        <f>D6+D7</f>
        <v>5239.2215128205235</v>
      </c>
      <c r="E5" s="375" t="s">
        <v>48</v>
      </c>
      <c r="F5" s="376">
        <f>G5/D6</f>
        <v>-0.44850299865047122</v>
      </c>
      <c r="G5" s="377">
        <f>R13</f>
        <v>-4260.7784871794765</v>
      </c>
      <c r="H5" s="378">
        <f>G5/(G5+G7)</f>
        <v>1.4148130579818123</v>
      </c>
      <c r="J5" s="96" t="s">
        <v>40</v>
      </c>
      <c r="K5" s="199"/>
      <c r="L5" s="570" t="s">
        <v>285</v>
      </c>
      <c r="M5" s="571"/>
      <c r="N5" s="571"/>
      <c r="O5" s="571"/>
      <c r="P5" s="571"/>
      <c r="Q5" s="572"/>
    </row>
    <row r="6" spans="3:20" x14ac:dyDescent="0.25">
      <c r="C6" s="59" t="s">
        <v>225</v>
      </c>
      <c r="D6" s="373">
        <f>3000+2000+4500</f>
        <v>9500</v>
      </c>
      <c r="E6" s="379" t="s">
        <v>49</v>
      </c>
      <c r="F6" s="380">
        <f>G6/D6</f>
        <v>-0.44850299865047122</v>
      </c>
      <c r="G6" s="381">
        <f>G5+M230</f>
        <v>-4260.7784871794765</v>
      </c>
      <c r="H6" s="382">
        <f>G6/(G6+G7)</f>
        <v>1.4148130579818123</v>
      </c>
      <c r="J6" s="528">
        <f>K6/D6</f>
        <v>8.3333333333333343E-2</v>
      </c>
      <c r="K6" s="531">
        <f>D6*COUNT(I10:R10)/12*J7</f>
        <v>791.66666666666674</v>
      </c>
      <c r="L6" s="54" t="s">
        <v>400</v>
      </c>
      <c r="M6" s="430">
        <v>3244.67</v>
      </c>
      <c r="N6" s="248"/>
      <c r="O6" s="54" t="s">
        <v>415</v>
      </c>
      <c r="P6" s="430">
        <v>2192</v>
      </c>
      <c r="Q6" s="248" t="s">
        <v>288</v>
      </c>
    </row>
    <row r="7" spans="3:20" x14ac:dyDescent="0.25">
      <c r="C7" s="61" t="s">
        <v>226</v>
      </c>
      <c r="D7" s="374">
        <f>G5</f>
        <v>-4260.7784871794765</v>
      </c>
      <c r="E7" s="383" t="s">
        <v>121</v>
      </c>
      <c r="F7" s="384"/>
      <c r="G7" s="385">
        <f>Table29[[#Totals],[Fee]]+I230</f>
        <v>1249.2297435897428</v>
      </c>
      <c r="H7" s="386">
        <f>G7/(G5+G7)</f>
        <v>-0.41481305798181251</v>
      </c>
      <c r="J7" s="529">
        <f>'Overall Summary'!M5</f>
        <v>0.1</v>
      </c>
      <c r="K7" s="532" t="s">
        <v>293</v>
      </c>
      <c r="L7" s="192" t="s">
        <v>244</v>
      </c>
      <c r="M7" s="502">
        <f>'Overall Summary'!P5</f>
        <v>4533</v>
      </c>
      <c r="N7" s="536">
        <f>(M7-M6)/M6</f>
        <v>0.39706040984137059</v>
      </c>
      <c r="O7" s="192" t="s">
        <v>244</v>
      </c>
      <c r="P7" s="502">
        <f>M7</f>
        <v>4533</v>
      </c>
      <c r="Q7" s="530">
        <f>(P7-P6)/P6</f>
        <v>1.0679744525547445</v>
      </c>
    </row>
    <row r="8" spans="3:20" x14ac:dyDescent="0.25">
      <c r="D8" s="40"/>
      <c r="J8" s="44"/>
      <c r="K8" s="45"/>
    </row>
    <row r="9" spans="3:20" x14ac:dyDescent="0.25">
      <c r="D9" s="40"/>
      <c r="F9" s="41"/>
      <c r="G9" s="42"/>
      <c r="H9" s="43"/>
      <c r="I9" s="44"/>
      <c r="J9" s="45"/>
    </row>
    <row r="10" spans="3:20" x14ac:dyDescent="0.25">
      <c r="C10" s="46" t="s">
        <v>15</v>
      </c>
      <c r="D10" s="356">
        <f>D11+D12</f>
        <v>0</v>
      </c>
      <c r="E10" s="102">
        <f>D10/D5</f>
        <v>0</v>
      </c>
      <c r="H10" s="127" t="s">
        <v>48</v>
      </c>
      <c r="I10" s="47">
        <v>44287</v>
      </c>
      <c r="J10" s="47">
        <v>44317</v>
      </c>
      <c r="K10" s="47">
        <v>44348</v>
      </c>
      <c r="L10" s="47">
        <v>44378</v>
      </c>
      <c r="M10" s="47">
        <v>44409</v>
      </c>
      <c r="N10" s="47">
        <v>44440</v>
      </c>
      <c r="O10" s="47">
        <v>44470</v>
      </c>
      <c r="P10" s="47">
        <v>44501</v>
      </c>
      <c r="Q10" s="47">
        <v>44531</v>
      </c>
      <c r="R10" s="47">
        <v>44562</v>
      </c>
    </row>
    <row r="11" spans="3:20" x14ac:dyDescent="0.25">
      <c r="C11" s="103" t="s">
        <v>67</v>
      </c>
      <c r="D11" s="357">
        <v>0</v>
      </c>
      <c r="E11" s="139">
        <v>0</v>
      </c>
      <c r="F11" s="59"/>
      <c r="H11" s="46" t="s">
        <v>41</v>
      </c>
      <c r="I11" s="544">
        <v>0</v>
      </c>
      <c r="J11" s="544">
        <v>0</v>
      </c>
      <c r="K11" s="544">
        <v>0</v>
      </c>
      <c r="L11" s="544">
        <f>L20</f>
        <v>-756.03</v>
      </c>
      <c r="M11" s="544">
        <v>0</v>
      </c>
      <c r="N11" s="544">
        <v>0</v>
      </c>
      <c r="O11" s="544">
        <f>L22+L23</f>
        <v>125.86000000000024</v>
      </c>
      <c r="P11" s="544" cm="1">
        <f t="array" ref="P11">SUM(L21+L24+L25+L26+L27+L28:L36)</f>
        <v>318.76999999999896</v>
      </c>
      <c r="Q11" s="544">
        <f>SUM(L37:L64)</f>
        <v>-549.08000000000027</v>
      </c>
      <c r="R11" s="544">
        <f>-350/7+SUM(L65:L210)</f>
        <v>-3400.2984871794756</v>
      </c>
    </row>
    <row r="12" spans="3:20" x14ac:dyDescent="0.25">
      <c r="C12" s="103" t="s">
        <v>68</v>
      </c>
      <c r="D12" s="357">
        <f>+$K$218+$K$220+$K$222+$K$224</f>
        <v>0</v>
      </c>
      <c r="E12" s="139" t="e">
        <f>D12/$D$10</f>
        <v>#DIV/0!</v>
      </c>
      <c r="F12" s="59"/>
      <c r="I12" s="50">
        <f>IF(I11=0,0,(I11-#REF!)/#REF!)</f>
        <v>0</v>
      </c>
      <c r="J12" s="50">
        <f t="shared" ref="J12:R12" si="0">IF(J11=0,0,(J11-I11)/I11)</f>
        <v>0</v>
      </c>
      <c r="K12" s="50">
        <f t="shared" si="0"/>
        <v>0</v>
      </c>
      <c r="L12" s="50" t="e">
        <f t="shared" si="0"/>
        <v>#DIV/0!</v>
      </c>
      <c r="M12" s="50">
        <f t="shared" si="0"/>
        <v>0</v>
      </c>
      <c r="N12" s="50">
        <f t="shared" si="0"/>
        <v>0</v>
      </c>
      <c r="O12" s="50" t="e">
        <f t="shared" si="0"/>
        <v>#DIV/0!</v>
      </c>
      <c r="P12" s="50">
        <f t="shared" si="0"/>
        <v>1.5327347846813788</v>
      </c>
      <c r="Q12" s="50">
        <f t="shared" si="0"/>
        <v>-2.7224958433980677</v>
      </c>
      <c r="R12" s="50">
        <f t="shared" si="0"/>
        <v>5.1927196167761966</v>
      </c>
    </row>
    <row r="13" spans="3:20" x14ac:dyDescent="0.25">
      <c r="C13" s="51" t="s">
        <v>29</v>
      </c>
      <c r="D13" s="339">
        <f>D5-D10</f>
        <v>5239.2215128205235</v>
      </c>
      <c r="E13" s="52">
        <f>D13/D5</f>
        <v>1</v>
      </c>
      <c r="J13" s="53"/>
      <c r="Q13" s="39" t="s">
        <v>342</v>
      </c>
      <c r="R13" s="49">
        <f>SUM(I11:R11)</f>
        <v>-4260.7784871794765</v>
      </c>
    </row>
    <row r="14" spans="3:20" x14ac:dyDescent="0.25">
      <c r="C14" s="368" t="s">
        <v>223</v>
      </c>
      <c r="D14" s="369">
        <f>IF(D13&lt;0,-D13,0)</f>
        <v>0</v>
      </c>
      <c r="E14" s="370">
        <f ca="1">TODAY()-1</f>
        <v>44648</v>
      </c>
      <c r="F14" s="367"/>
      <c r="J14" s="53"/>
      <c r="Q14" s="39" t="s">
        <v>388</v>
      </c>
      <c r="R14" s="49">
        <f>AVERAGE(I11:R11)</f>
        <v>-426.07784871794763</v>
      </c>
    </row>
    <row r="15" spans="3:20" x14ac:dyDescent="0.25">
      <c r="C15" s="368" t="s">
        <v>224</v>
      </c>
      <c r="D15" s="451">
        <f ca="1">E15*D14*4.85%/360</f>
        <v>0</v>
      </c>
      <c r="E15" s="371">
        <f ca="1">TODAY()-E14</f>
        <v>1</v>
      </c>
      <c r="J15" s="53"/>
      <c r="Q15" s="39" t="s">
        <v>343</v>
      </c>
      <c r="R15" s="545">
        <f>R13/$D$6</f>
        <v>-0.44850299865047122</v>
      </c>
      <c r="S15" s="49"/>
      <c r="T15" s="262"/>
    </row>
    <row r="16" spans="3:20" x14ac:dyDescent="0.25">
      <c r="C16" s="54"/>
      <c r="D16" s="55"/>
      <c r="E16" s="56"/>
      <c r="J16" s="53"/>
      <c r="K16" s="262"/>
    </row>
    <row r="17" spans="2:21" x14ac:dyDescent="0.25">
      <c r="H17" s="140"/>
    </row>
    <row r="18" spans="2:21" x14ac:dyDescent="0.25">
      <c r="B18" s="576" t="s">
        <v>81</v>
      </c>
      <c r="C18" s="576"/>
    </row>
    <row r="19" spans="2:21" x14ac:dyDescent="0.25">
      <c r="B19" s="226" t="s">
        <v>50</v>
      </c>
      <c r="C19" s="227" t="s">
        <v>0</v>
      </c>
      <c r="D19" s="228" t="s">
        <v>1</v>
      </c>
      <c r="E19" s="228" t="s">
        <v>11</v>
      </c>
      <c r="F19" s="228" t="s">
        <v>2</v>
      </c>
      <c r="G19" s="228" t="s">
        <v>3</v>
      </c>
      <c r="H19" s="228" t="s">
        <v>4</v>
      </c>
      <c r="I19" s="228" t="s">
        <v>6</v>
      </c>
      <c r="J19" s="228" t="s">
        <v>15</v>
      </c>
      <c r="K19" s="228" t="s">
        <v>8</v>
      </c>
      <c r="L19" s="229" t="s">
        <v>9</v>
      </c>
      <c r="M19" s="226" t="s">
        <v>77</v>
      </c>
      <c r="N19" s="228" t="s">
        <v>56</v>
      </c>
      <c r="O19" s="229" t="s">
        <v>55</v>
      </c>
      <c r="P19" s="229" t="s">
        <v>79</v>
      </c>
      <c r="Q19" s="228" t="s">
        <v>80</v>
      </c>
    </row>
    <row r="20" spans="2:21" x14ac:dyDescent="0.25">
      <c r="B20" s="221">
        <v>1</v>
      </c>
      <c r="C20" s="69" t="e" vm="58">
        <v>#VALUE!</v>
      </c>
      <c r="D20" s="69" t="s">
        <v>10</v>
      </c>
      <c r="E20" s="116" t="s">
        <v>13</v>
      </c>
      <c r="F20" s="173">
        <v>6.91</v>
      </c>
      <c r="G20" s="188">
        <v>142</v>
      </c>
      <c r="H20" s="173">
        <f>2.42+2.43</f>
        <v>4.8499999999999996</v>
      </c>
      <c r="I20" s="173">
        <f t="shared" ref="I20" si="1">((F20*G20)+H20)/G20</f>
        <v>6.9441549295774649</v>
      </c>
      <c r="J20" s="245">
        <f t="shared" ref="J20" si="2">I20*G20</f>
        <v>986.07</v>
      </c>
      <c r="K20" s="173" cm="1">
        <f t="array" ref="K20">_FV(C20,"Price")</f>
        <v>2.8</v>
      </c>
      <c r="L20" s="533">
        <f t="shared" ref="L20" si="3">(N20-I20)*G20</f>
        <v>-756.03</v>
      </c>
      <c r="M20" s="117">
        <f t="shared" ref="M20" si="4">L20/J20</f>
        <v>-0.76671027411847026</v>
      </c>
      <c r="N20" s="173">
        <v>1.62</v>
      </c>
      <c r="O20" s="224">
        <v>44313</v>
      </c>
      <c r="P20" s="224">
        <v>44400</v>
      </c>
      <c r="Q20" s="238">
        <f>Table29[[#This Row],[Close Date]]-Table29[[#This Row],[Open Date]]</f>
        <v>87</v>
      </c>
      <c r="R20" s="430"/>
    </row>
    <row r="21" spans="2:21" x14ac:dyDescent="0.25">
      <c r="B21" s="220">
        <v>3</v>
      </c>
      <c r="C21" s="121" t="e" vm="59">
        <v>#VALUE!</v>
      </c>
      <c r="D21" s="121" t="s">
        <v>419</v>
      </c>
      <c r="E21" s="120" t="s">
        <v>13</v>
      </c>
      <c r="F21" s="122">
        <v>62</v>
      </c>
      <c r="G21" s="187">
        <v>10</v>
      </c>
      <c r="H21" s="122">
        <f>2.02+2.04</f>
        <v>4.0600000000000005</v>
      </c>
      <c r="I21" s="122">
        <f t="shared" ref="I21" si="5">((F21*G21)+H21)/G21</f>
        <v>62.405999999999992</v>
      </c>
      <c r="J21" s="244">
        <f t="shared" ref="J21" si="6">I21*G21</f>
        <v>624.05999999999995</v>
      </c>
      <c r="K21" s="122" cm="1">
        <f t="array" ref="K21">_FV(C21,"Price")</f>
        <v>47.42</v>
      </c>
      <c r="L21" s="122">
        <f t="shared" ref="L21" si="7">(N21-I21)*G21</f>
        <v>0.94000000000008299</v>
      </c>
      <c r="M21" s="126">
        <f t="shared" ref="M21" si="8">L21/J21</f>
        <v>1.5062654231966207E-3</v>
      </c>
      <c r="N21" s="123">
        <v>62.5</v>
      </c>
      <c r="O21" s="223">
        <v>44406</v>
      </c>
      <c r="P21" s="223">
        <v>44518</v>
      </c>
      <c r="Q21" s="237">
        <f>Table29[[#This Row],[Close Date]]-Table29[[#This Row],[Open Date]]</f>
        <v>112</v>
      </c>
      <c r="R21" s="430"/>
    </row>
    <row r="22" spans="2:21" x14ac:dyDescent="0.25">
      <c r="B22" s="220">
        <v>4</v>
      </c>
      <c r="C22" s="121" t="e" vm="47">
        <v>#VALUE!</v>
      </c>
      <c r="D22" s="121" t="s">
        <v>10</v>
      </c>
      <c r="E22" s="120" t="s">
        <v>13</v>
      </c>
      <c r="F22" s="122">
        <v>155</v>
      </c>
      <c r="G22" s="187">
        <v>6</v>
      </c>
      <c r="H22" s="122">
        <f>2.01+2.03</f>
        <v>4.0399999999999991</v>
      </c>
      <c r="I22" s="122">
        <f t="shared" ref="I22" si="9">((F22*G22)+H22)/G22</f>
        <v>155.67333333333332</v>
      </c>
      <c r="J22" s="244">
        <f t="shared" ref="J22" si="10">I22*G22</f>
        <v>934.04</v>
      </c>
      <c r="K22" s="122" cm="1">
        <f t="array" ref="K22">_FV(C22,"Price")</f>
        <v>156.5</v>
      </c>
      <c r="L22" s="122">
        <f t="shared" ref="L22" si="11">(N22-I22)*G22</f>
        <v>8.0200000000000387</v>
      </c>
      <c r="M22" s="126">
        <f t="shared" ref="M22" si="12">L22/J22</f>
        <v>8.5863560447090471E-3</v>
      </c>
      <c r="N22" s="123">
        <v>157.01</v>
      </c>
      <c r="O22" s="223">
        <v>44449</v>
      </c>
      <c r="P22" s="223">
        <v>44470</v>
      </c>
      <c r="Q22" s="237">
        <f>Table29[[#This Row],[Close Date]]-Table29[[#This Row],[Open Date]]</f>
        <v>21</v>
      </c>
      <c r="R22" s="430"/>
    </row>
    <row r="23" spans="2:21" x14ac:dyDescent="0.25">
      <c r="B23" s="222">
        <v>5</v>
      </c>
      <c r="C23" s="65" t="e" vm="14">
        <v>#VALUE!</v>
      </c>
      <c r="D23" s="65" t="s">
        <v>21</v>
      </c>
      <c r="E23" s="115" t="s">
        <v>13</v>
      </c>
      <c r="F23" s="66">
        <v>151.81</v>
      </c>
      <c r="G23" s="189">
        <v>10</v>
      </c>
      <c r="H23" s="66">
        <f>2.02+2.04</f>
        <v>4.0600000000000005</v>
      </c>
      <c r="I23" s="66">
        <f t="shared" ref="I23" si="13">((F23*G23)+H23)/G23</f>
        <v>152.21599999999998</v>
      </c>
      <c r="J23" s="246">
        <f t="shared" ref="J23" si="14">I23*G23</f>
        <v>1522.1599999999999</v>
      </c>
      <c r="K23" s="66" cm="1">
        <f t="array" ref="K23">_FV(C23,"Price")</f>
        <v>115.09</v>
      </c>
      <c r="L23" s="67">
        <f t="shared" ref="L23" si="15">(N23-I23)*G23</f>
        <v>117.8400000000002</v>
      </c>
      <c r="M23" s="72">
        <f t="shared" ref="M23" si="16">L23/J23</f>
        <v>7.7416303148158019E-2</v>
      </c>
      <c r="N23" s="174">
        <v>164</v>
      </c>
      <c r="O23" s="260">
        <v>44459</v>
      </c>
      <c r="P23" s="225">
        <v>44481</v>
      </c>
      <c r="Q23" s="239">
        <f>Table29[[#This Row],[Close Date]]-Table29[[#This Row],[Open Date]]</f>
        <v>22</v>
      </c>
      <c r="R23" s="178"/>
      <c r="T23" s="54"/>
      <c r="U23" s="135"/>
    </row>
    <row r="24" spans="2:21" x14ac:dyDescent="0.25">
      <c r="B24" s="222">
        <v>8</v>
      </c>
      <c r="C24" s="65" t="e" vm="18">
        <v>#VALUE!</v>
      </c>
      <c r="D24" s="65" t="s">
        <v>21</v>
      </c>
      <c r="E24" s="115" t="s">
        <v>13</v>
      </c>
      <c r="F24" s="66">
        <v>6.35</v>
      </c>
      <c r="G24" s="189">
        <v>100</v>
      </c>
      <c r="H24" s="66">
        <f>2.29+2.31</f>
        <v>4.5999999999999996</v>
      </c>
      <c r="I24" s="66">
        <f t="shared" ref="I24:I25" si="17">((F24*G24)+H24)/G24</f>
        <v>6.3959999999999999</v>
      </c>
      <c r="J24" s="246">
        <f t="shared" ref="J24:J25" si="18">I24*G24</f>
        <v>639.6</v>
      </c>
      <c r="K24" s="66" cm="1">
        <f t="array" ref="K24">_FV(C24,"Price")</f>
        <v>6</v>
      </c>
      <c r="L24" s="67">
        <f t="shared" ref="L24:L25" si="19">(N24-I24)*G24</f>
        <v>43.40000000000002</v>
      </c>
      <c r="M24" s="72">
        <f t="shared" ref="M24:M25" si="20">L24/J24</f>
        <v>6.7854909318323983E-2</v>
      </c>
      <c r="N24" s="174">
        <v>6.83</v>
      </c>
      <c r="O24" s="260">
        <v>44503</v>
      </c>
      <c r="P24" s="225">
        <v>44518</v>
      </c>
      <c r="Q24" s="239">
        <f>Table29[[#This Row],[Close Date]]-Table29[[#This Row],[Open Date]]</f>
        <v>15</v>
      </c>
      <c r="R24" s="178"/>
      <c r="T24" s="54"/>
      <c r="U24" s="135"/>
    </row>
    <row r="25" spans="2:21" x14ac:dyDescent="0.25">
      <c r="B25" s="221">
        <v>9</v>
      </c>
      <c r="C25" s="69" t="e" vm="60">
        <v>#VALUE!</v>
      </c>
      <c r="D25" s="69" t="s">
        <v>10</v>
      </c>
      <c r="E25" s="116" t="s">
        <v>13</v>
      </c>
      <c r="F25" s="173">
        <v>36.5</v>
      </c>
      <c r="G25" s="188">
        <v>10</v>
      </c>
      <c r="H25" s="173">
        <f>2.02+2.04</f>
        <v>4.0600000000000005</v>
      </c>
      <c r="I25" s="173">
        <f t="shared" si="17"/>
        <v>36.905999999999999</v>
      </c>
      <c r="J25" s="245">
        <f t="shared" si="18"/>
        <v>369.06</v>
      </c>
      <c r="K25" s="173" cm="1">
        <f t="array" ref="K25">_FV(C25,"Price")</f>
        <v>28.99</v>
      </c>
      <c r="L25" s="533">
        <f t="shared" si="19"/>
        <v>-19.059999999999988</v>
      </c>
      <c r="M25" s="117">
        <f t="shared" si="20"/>
        <v>-5.1644719015878145E-2</v>
      </c>
      <c r="N25" s="173">
        <v>35</v>
      </c>
      <c r="O25" s="224">
        <v>44512</v>
      </c>
      <c r="P25" s="224">
        <v>44529</v>
      </c>
      <c r="Q25" s="238">
        <f>Table29[[#This Row],[Close Date]]-Table29[[#This Row],[Open Date]]</f>
        <v>17</v>
      </c>
      <c r="R25" s="430"/>
    </row>
    <row r="26" spans="2:21" x14ac:dyDescent="0.25">
      <c r="B26" s="221">
        <v>10</v>
      </c>
      <c r="C26" s="69" t="e" vm="61">
        <v>#VALUE!</v>
      </c>
      <c r="D26" s="69" t="s">
        <v>21</v>
      </c>
      <c r="E26" s="116" t="s">
        <v>13</v>
      </c>
      <c r="F26" s="173">
        <v>55</v>
      </c>
      <c r="G26" s="188">
        <v>10</v>
      </c>
      <c r="H26" s="173">
        <f>2.02+2.04</f>
        <v>4.0600000000000005</v>
      </c>
      <c r="I26" s="173">
        <f t="shared" ref="I26" si="21">((F26*G26)+H26)/G26</f>
        <v>55.405999999999992</v>
      </c>
      <c r="J26" s="245">
        <f t="shared" ref="J26" si="22">I26*G26</f>
        <v>554.05999999999995</v>
      </c>
      <c r="K26" s="173" cm="1">
        <f t="array" ref="K26">_FV(C26,"Price")</f>
        <v>27.01</v>
      </c>
      <c r="L26" s="533">
        <f t="shared" ref="L26" si="23">(N26-I26)*G26</f>
        <v>-34.059999999999917</v>
      </c>
      <c r="M26" s="117">
        <f t="shared" ref="M26" si="24">L26/J26</f>
        <v>-6.147348662599704E-2</v>
      </c>
      <c r="N26" s="173">
        <v>52</v>
      </c>
      <c r="O26" s="224">
        <v>44518</v>
      </c>
      <c r="P26" s="224">
        <v>44530</v>
      </c>
      <c r="Q26" s="238">
        <f>Table29[[#This Row],[Close Date]]-Table29[[#This Row],[Open Date]]</f>
        <v>12</v>
      </c>
      <c r="R26" s="430"/>
    </row>
    <row r="27" spans="2:21" x14ac:dyDescent="0.25">
      <c r="B27" s="220">
        <v>11</v>
      </c>
      <c r="C27" s="121" t="e" vm="16">
        <v>#VALUE!</v>
      </c>
      <c r="D27" s="121" t="s">
        <v>21</v>
      </c>
      <c r="E27" s="120" t="s">
        <v>13</v>
      </c>
      <c r="F27" s="122">
        <v>54</v>
      </c>
      <c r="G27" s="187">
        <v>50</v>
      </c>
      <c r="H27" s="122">
        <f>2.14+2.16</f>
        <v>4.3000000000000007</v>
      </c>
      <c r="I27" s="122">
        <f t="shared" ref="I27:I28" si="25">((F27*G27)+H27)/G27</f>
        <v>54.086000000000006</v>
      </c>
      <c r="J27" s="244">
        <f t="shared" ref="J27:J28" si="26">I27*G27</f>
        <v>2704.3</v>
      </c>
      <c r="K27" s="122" cm="1">
        <f t="array" ref="K27">_FV(C27,"Price")</f>
        <v>27.13</v>
      </c>
      <c r="L27" s="122">
        <f t="shared" ref="L27:L28" si="27">(N27-I27)*G27</f>
        <v>20.699999999999719</v>
      </c>
      <c r="M27" s="126">
        <f t="shared" ref="M27:M28" si="28">L27/J27</f>
        <v>7.6544762045629988E-3</v>
      </c>
      <c r="N27" s="123">
        <v>54.5</v>
      </c>
      <c r="O27" s="223">
        <v>44524</v>
      </c>
      <c r="P27" s="223">
        <v>44524</v>
      </c>
      <c r="Q27" s="237">
        <f>Table29[[#This Row],[Close Date]]-Table29[[#This Row],[Open Date]]</f>
        <v>0</v>
      </c>
      <c r="R27" s="178"/>
      <c r="T27" s="54"/>
      <c r="U27" s="135"/>
    </row>
    <row r="28" spans="2:21" x14ac:dyDescent="0.25">
      <c r="B28" s="220">
        <v>12</v>
      </c>
      <c r="C28" s="121" t="e" vm="16">
        <v>#VALUE!</v>
      </c>
      <c r="D28" s="121" t="s">
        <v>21</v>
      </c>
      <c r="E28" s="120" t="s">
        <v>13</v>
      </c>
      <c r="F28" s="122">
        <v>50.8</v>
      </c>
      <c r="G28" s="187">
        <v>50</v>
      </c>
      <c r="H28" s="122">
        <f>2.14+2.16</f>
        <v>4.3000000000000007</v>
      </c>
      <c r="I28" s="122">
        <f t="shared" si="25"/>
        <v>50.886000000000003</v>
      </c>
      <c r="J28" s="244">
        <f t="shared" si="26"/>
        <v>2544.3000000000002</v>
      </c>
      <c r="K28" s="122" cm="1">
        <f t="array" ref="K28">_FV(C28,"Price")</f>
        <v>27.13</v>
      </c>
      <c r="L28" s="122">
        <f t="shared" si="27"/>
        <v>65.7</v>
      </c>
      <c r="M28" s="126">
        <f t="shared" si="28"/>
        <v>2.5822426600636716E-2</v>
      </c>
      <c r="N28" s="123">
        <v>52.2</v>
      </c>
      <c r="O28" s="223">
        <v>44526</v>
      </c>
      <c r="P28" s="223">
        <v>44526</v>
      </c>
      <c r="Q28" s="237">
        <f>Table29[[#This Row],[Close Date]]-Table29[[#This Row],[Open Date]]</f>
        <v>0</v>
      </c>
      <c r="R28" s="178"/>
      <c r="T28" s="54"/>
      <c r="U28" s="135"/>
    </row>
    <row r="29" spans="2:21" x14ac:dyDescent="0.25">
      <c r="B29" s="220">
        <v>13</v>
      </c>
      <c r="C29" s="121" t="e" vm="62">
        <v>#VALUE!</v>
      </c>
      <c r="D29" s="121" t="s">
        <v>21</v>
      </c>
      <c r="E29" s="120" t="s">
        <v>13</v>
      </c>
      <c r="F29" s="122">
        <v>295</v>
      </c>
      <c r="G29" s="187">
        <v>10</v>
      </c>
      <c r="H29" s="122">
        <f>2.02+2.05</f>
        <v>4.07</v>
      </c>
      <c r="I29" s="122">
        <f t="shared" ref="I29:I30" si="29">((F29*G29)+H29)/G29</f>
        <v>295.40700000000004</v>
      </c>
      <c r="J29" s="244">
        <f t="shared" ref="J29:J30" si="30">I29*G29</f>
        <v>2954.0700000000006</v>
      </c>
      <c r="K29" s="122" cm="1">
        <f t="array" ref="K29">_FV(C29,"Price")</f>
        <v>116.98</v>
      </c>
      <c r="L29" s="122">
        <f t="shared" ref="L29:L30" si="31">(N29-I29)*G29</f>
        <v>23.929999999999723</v>
      </c>
      <c r="M29" s="126">
        <f t="shared" ref="M29:M30" si="32">L29/J29</f>
        <v>8.1006882030553503E-3</v>
      </c>
      <c r="N29" s="123">
        <v>297.8</v>
      </c>
      <c r="O29" s="223">
        <v>44526</v>
      </c>
      <c r="P29" s="223">
        <v>44526</v>
      </c>
      <c r="Q29" s="237">
        <f>Table29[[#This Row],[Close Date]]-Table29[[#This Row],[Open Date]]</f>
        <v>0</v>
      </c>
      <c r="R29" s="430"/>
    </row>
    <row r="30" spans="2:21" x14ac:dyDescent="0.25">
      <c r="B30" s="220">
        <v>14</v>
      </c>
      <c r="C30" s="121" t="e" vm="47">
        <v>#VALUE!</v>
      </c>
      <c r="D30" s="121" t="s">
        <v>10</v>
      </c>
      <c r="E30" s="120" t="s">
        <v>13</v>
      </c>
      <c r="F30" s="122">
        <v>170</v>
      </c>
      <c r="G30" s="187">
        <v>20</v>
      </c>
      <c r="H30" s="122">
        <f>2.05+2.08</f>
        <v>4.13</v>
      </c>
      <c r="I30" s="122">
        <f t="shared" si="29"/>
        <v>170.20650000000001</v>
      </c>
      <c r="J30" s="244">
        <f t="shared" si="30"/>
        <v>3404.13</v>
      </c>
      <c r="K30" s="122" cm="1">
        <f t="array" ref="K30">_FV(C30,"Price")</f>
        <v>156.5</v>
      </c>
      <c r="L30" s="122">
        <f t="shared" si="31"/>
        <v>1.8700000000001182</v>
      </c>
      <c r="M30" s="126">
        <f t="shared" si="32"/>
        <v>5.4933272231087477E-4</v>
      </c>
      <c r="N30" s="123">
        <v>170.3</v>
      </c>
      <c r="O30" s="223">
        <v>44526</v>
      </c>
      <c r="P30" s="223">
        <v>44526</v>
      </c>
      <c r="Q30" s="237">
        <f>Table29[[#This Row],[Close Date]]-Table29[[#This Row],[Open Date]]</f>
        <v>0</v>
      </c>
      <c r="R30" s="178"/>
      <c r="T30" s="54"/>
      <c r="U30" s="135"/>
    </row>
    <row r="31" spans="2:21" x14ac:dyDescent="0.25">
      <c r="B31" s="220">
        <v>15</v>
      </c>
      <c r="C31" s="121" t="e" vm="29">
        <v>#VALUE!</v>
      </c>
      <c r="D31" s="121" t="s">
        <v>21</v>
      </c>
      <c r="E31" s="120" t="s">
        <v>13</v>
      </c>
      <c r="F31" s="122">
        <v>39.9</v>
      </c>
      <c r="G31" s="187">
        <v>60</v>
      </c>
      <c r="H31" s="122">
        <f>2.17+2.19</f>
        <v>4.3599999999999994</v>
      </c>
      <c r="I31" s="122">
        <f t="shared" ref="I31" si="33">((F31*G31)+H31)/G31</f>
        <v>39.972666666666669</v>
      </c>
      <c r="J31" s="244">
        <f t="shared" ref="J31" si="34">I31*G31</f>
        <v>2398.36</v>
      </c>
      <c r="K31" s="122" cm="1">
        <f t="array" ref="K31">_FV(C31,"Price")</f>
        <v>21.21</v>
      </c>
      <c r="L31" s="122">
        <f t="shared" ref="L31" si="35">(N31-I31)*G31</f>
        <v>13.640000000000043</v>
      </c>
      <c r="M31" s="126">
        <f t="shared" ref="M31" si="36">L31/J31</f>
        <v>5.6872196000600584E-3</v>
      </c>
      <c r="N31" s="123">
        <v>40.200000000000003</v>
      </c>
      <c r="O31" s="223">
        <v>44526</v>
      </c>
      <c r="P31" s="223">
        <v>44526</v>
      </c>
      <c r="Q31" s="237">
        <f>Table29[[#This Row],[Close Date]]-Table29[[#This Row],[Open Date]]</f>
        <v>0</v>
      </c>
      <c r="R31" s="178"/>
      <c r="T31" s="54"/>
      <c r="U31" s="135"/>
    </row>
    <row r="32" spans="2:21" x14ac:dyDescent="0.25">
      <c r="B32" s="220">
        <v>16</v>
      </c>
      <c r="C32" s="121" t="e" vm="11">
        <v>#VALUE!</v>
      </c>
      <c r="D32" s="121" t="s">
        <v>10</v>
      </c>
      <c r="E32" s="120" t="s">
        <v>13</v>
      </c>
      <c r="F32" s="122">
        <v>34.5</v>
      </c>
      <c r="G32" s="187">
        <v>90</v>
      </c>
      <c r="H32" s="122">
        <f>2.26+2.29</f>
        <v>4.55</v>
      </c>
      <c r="I32" s="122">
        <f t="shared" ref="I32" si="37">((F32*G32)+H32)/G32</f>
        <v>34.550555555555555</v>
      </c>
      <c r="J32" s="244">
        <f t="shared" ref="J32" si="38">I32*G32</f>
        <v>3109.5499999999997</v>
      </c>
      <c r="K32" s="122" cm="1">
        <f t="array" ref="K32">_FV(C32,"Price")</f>
        <v>26.48</v>
      </c>
      <c r="L32" s="122">
        <f t="shared" ref="L32" si="39">(N32-I32)*G32</f>
        <v>103.45000000000034</v>
      </c>
      <c r="M32" s="126">
        <f t="shared" ref="M32" si="40">L32/J32</f>
        <v>3.3268479361965669E-2</v>
      </c>
      <c r="N32" s="123">
        <v>35.700000000000003</v>
      </c>
      <c r="O32" s="223">
        <v>44529</v>
      </c>
      <c r="P32" s="223">
        <v>44529</v>
      </c>
      <c r="Q32" s="237">
        <f>Table29[[#This Row],[Close Date]]-Table29[[#This Row],[Open Date]]</f>
        <v>0</v>
      </c>
      <c r="R32" s="178"/>
      <c r="T32" s="54"/>
      <c r="U32" s="135"/>
    </row>
    <row r="33" spans="2:21" x14ac:dyDescent="0.25">
      <c r="B33" s="220">
        <v>17</v>
      </c>
      <c r="C33" s="121" t="e" vm="50">
        <v>#VALUE!</v>
      </c>
      <c r="D33" s="121" t="s">
        <v>10</v>
      </c>
      <c r="E33" s="120" t="s">
        <v>13</v>
      </c>
      <c r="F33" s="122">
        <v>71.5</v>
      </c>
      <c r="G33" s="187">
        <v>50</v>
      </c>
      <c r="H33" s="122">
        <f>2.14+2.17</f>
        <v>4.3100000000000005</v>
      </c>
      <c r="I33" s="122">
        <f t="shared" ref="I33:I34" si="41">((F33*G33)+H33)/G33</f>
        <v>71.586200000000005</v>
      </c>
      <c r="J33" s="244">
        <f t="shared" ref="J33:J34" si="42">I33*G33</f>
        <v>3579.3100000000004</v>
      </c>
      <c r="K33" s="122" cm="1">
        <f t="array" ref="K33">_FV(C33,"Price")</f>
        <v>43.67</v>
      </c>
      <c r="L33" s="122">
        <f t="shared" ref="L33:L34" si="43">(N33-I33)*G33</f>
        <v>18.189999999999884</v>
      </c>
      <c r="M33" s="126">
        <f t="shared" ref="M33:M34" si="44">L33/J33</f>
        <v>5.0819850753357158E-3</v>
      </c>
      <c r="N33" s="123">
        <v>71.95</v>
      </c>
      <c r="O33" s="223">
        <v>44529</v>
      </c>
      <c r="P33" s="223">
        <v>44529</v>
      </c>
      <c r="Q33" s="237">
        <f>Table29[[#This Row],[Close Date]]-Table29[[#This Row],[Open Date]]</f>
        <v>0</v>
      </c>
      <c r="R33" s="178"/>
      <c r="T33" s="54"/>
      <c r="U33" s="135"/>
    </row>
    <row r="34" spans="2:21" x14ac:dyDescent="0.25">
      <c r="B34" s="221">
        <v>18</v>
      </c>
      <c r="C34" s="69" t="e" vm="28">
        <v>#VALUE!</v>
      </c>
      <c r="D34" s="69" t="s">
        <v>10</v>
      </c>
      <c r="E34" s="116" t="s">
        <v>13</v>
      </c>
      <c r="F34" s="173">
        <v>331</v>
      </c>
      <c r="G34" s="188">
        <v>10</v>
      </c>
      <c r="H34" s="173">
        <f>2.02+2.05</f>
        <v>4.07</v>
      </c>
      <c r="I34" s="173">
        <f t="shared" si="41"/>
        <v>331.40700000000004</v>
      </c>
      <c r="J34" s="245">
        <f t="shared" si="42"/>
        <v>3314.0700000000006</v>
      </c>
      <c r="K34" s="173" cm="1">
        <f t="array" ref="K34">_FV(C34,"Price")</f>
        <v>282.19</v>
      </c>
      <c r="L34" s="533">
        <f t="shared" si="43"/>
        <v>-36.070000000000277</v>
      </c>
      <c r="M34" s="117">
        <f t="shared" si="44"/>
        <v>-1.0883898046812611E-2</v>
      </c>
      <c r="N34" s="173">
        <v>327.8</v>
      </c>
      <c r="O34" s="224">
        <v>44529</v>
      </c>
      <c r="P34" s="224">
        <v>44529</v>
      </c>
      <c r="Q34" s="238">
        <f>Table29[[#This Row],[Close Date]]-Table29[[#This Row],[Open Date]]</f>
        <v>0</v>
      </c>
      <c r="R34" s="430"/>
    </row>
    <row r="35" spans="2:21" x14ac:dyDescent="0.25">
      <c r="B35" s="220">
        <v>19</v>
      </c>
      <c r="C35" s="121" t="e" vm="11">
        <v>#VALUE!</v>
      </c>
      <c r="D35" s="121" t="s">
        <v>10</v>
      </c>
      <c r="E35" s="120" t="s">
        <v>13</v>
      </c>
      <c r="F35" s="122">
        <v>33.9</v>
      </c>
      <c r="G35" s="187">
        <v>100</v>
      </c>
      <c r="H35" s="122">
        <f>2.29+2.32</f>
        <v>4.6099999999999994</v>
      </c>
      <c r="I35" s="122">
        <f t="shared" ref="I35:I36" si="45">((F35*G35)+H35)/G35</f>
        <v>33.946100000000001</v>
      </c>
      <c r="J35" s="244">
        <f t="shared" ref="J35:J36" si="46">I35*G35</f>
        <v>3394.61</v>
      </c>
      <c r="K35" s="122" cm="1">
        <f t="array" ref="K35">_FV(C35,"Price")</f>
        <v>26.48</v>
      </c>
      <c r="L35" s="122">
        <f t="shared" ref="L35:L36" si="47">(N35-I35)*G35</f>
        <v>5.3899999999998727</v>
      </c>
      <c r="M35" s="126">
        <f t="shared" ref="M35:M36" si="48">L35/J35</f>
        <v>1.5878112655061619E-3</v>
      </c>
      <c r="N35" s="123">
        <v>34</v>
      </c>
      <c r="O35" s="223">
        <v>44530</v>
      </c>
      <c r="P35" s="223">
        <v>44530</v>
      </c>
      <c r="Q35" s="237">
        <f>Table29[[#This Row],[Close Date]]-Table29[[#This Row],[Open Date]]</f>
        <v>0</v>
      </c>
      <c r="R35" s="178"/>
      <c r="T35" s="54"/>
      <c r="U35" s="135"/>
    </row>
    <row r="36" spans="2:21" x14ac:dyDescent="0.25">
      <c r="B36" s="220">
        <v>20</v>
      </c>
      <c r="C36" s="121" t="e" vm="29">
        <v>#VALUE!</v>
      </c>
      <c r="D36" s="121" t="s">
        <v>21</v>
      </c>
      <c r="E36" s="120" t="s">
        <v>13</v>
      </c>
      <c r="F36" s="122">
        <v>38.799999999999997</v>
      </c>
      <c r="G36" s="187">
        <v>100</v>
      </c>
      <c r="H36" s="122">
        <f>2.32+2.29</f>
        <v>4.6099999999999994</v>
      </c>
      <c r="I36" s="122">
        <f t="shared" si="45"/>
        <v>38.8461</v>
      </c>
      <c r="J36" s="244">
        <f t="shared" si="46"/>
        <v>3884.61</v>
      </c>
      <c r="K36" s="122" cm="1">
        <f t="array" ref="K36">_FV(C36,"Price")</f>
        <v>21.21</v>
      </c>
      <c r="L36" s="122">
        <f t="shared" si="47"/>
        <v>15.390000000000015</v>
      </c>
      <c r="M36" s="126">
        <f t="shared" si="48"/>
        <v>3.9617876698046948E-3</v>
      </c>
      <c r="N36" s="123">
        <v>39</v>
      </c>
      <c r="O36" s="223">
        <v>44530</v>
      </c>
      <c r="P36" s="223">
        <v>44530</v>
      </c>
      <c r="Q36" s="237">
        <f>Table29[[#This Row],[Close Date]]-Table29[[#This Row],[Open Date]]</f>
        <v>0</v>
      </c>
      <c r="R36" s="178"/>
      <c r="T36" s="54"/>
      <c r="U36" s="135"/>
    </row>
    <row r="37" spans="2:21" x14ac:dyDescent="0.25">
      <c r="B37" s="220">
        <v>21</v>
      </c>
      <c r="C37" s="121" t="e" vm="11">
        <v>#VALUE!</v>
      </c>
      <c r="D37" s="121" t="s">
        <v>10</v>
      </c>
      <c r="E37" s="120" t="s">
        <v>13</v>
      </c>
      <c r="F37" s="122">
        <v>35.5</v>
      </c>
      <c r="G37" s="187">
        <v>120</v>
      </c>
      <c r="H37" s="122">
        <f>2.35+2.32+2.07</f>
        <v>6.74</v>
      </c>
      <c r="I37" s="122">
        <f t="shared" ref="I37:I38" si="49">((F37*G37)+H37)/G37</f>
        <v>35.556166666666662</v>
      </c>
      <c r="J37" s="244">
        <f t="shared" ref="J37:J38" si="50">I37*G37</f>
        <v>4266.74</v>
      </c>
      <c r="K37" s="122" cm="1">
        <f t="array" ref="K37">_FV(C37,"Price")</f>
        <v>26.48</v>
      </c>
      <c r="L37" s="122">
        <f t="shared" ref="L37:L38" si="51">(N37-I37)*G37</f>
        <v>45.260000000000105</v>
      </c>
      <c r="M37" s="126">
        <f t="shared" ref="M37:M38" si="52">L37/J37</f>
        <v>1.0607630181356282E-2</v>
      </c>
      <c r="N37" s="123">
        <f>(35.8*100+36.6*20)/120</f>
        <v>35.93333333333333</v>
      </c>
      <c r="O37" s="223">
        <v>44531</v>
      </c>
      <c r="P37" s="223">
        <v>44531</v>
      </c>
      <c r="Q37" s="237">
        <f>Table29[[#This Row],[Close Date]]-Table29[[#This Row],[Open Date]]</f>
        <v>0</v>
      </c>
      <c r="R37" s="178"/>
      <c r="T37" s="54"/>
      <c r="U37" s="135"/>
    </row>
    <row r="38" spans="2:21" x14ac:dyDescent="0.25">
      <c r="B38" s="220">
        <v>22</v>
      </c>
      <c r="C38" s="121" t="e" vm="63">
        <v>#VALUE!</v>
      </c>
      <c r="D38" s="121" t="s">
        <v>21</v>
      </c>
      <c r="E38" s="120" t="s">
        <v>13</v>
      </c>
      <c r="F38" s="122">
        <v>8.3000000000000007</v>
      </c>
      <c r="G38" s="187">
        <v>400</v>
      </c>
      <c r="H38" s="122">
        <f>5.16+5.23</f>
        <v>10.39</v>
      </c>
      <c r="I38" s="122">
        <f t="shared" si="49"/>
        <v>8.3259750000000015</v>
      </c>
      <c r="J38" s="244">
        <f t="shared" si="50"/>
        <v>3330.3900000000008</v>
      </c>
      <c r="K38" s="122" cm="1">
        <f t="array" ref="K38">_FV(C38,"Price")</f>
        <v>3.02</v>
      </c>
      <c r="L38" s="122">
        <f t="shared" si="51"/>
        <v>29.609999999999559</v>
      </c>
      <c r="M38" s="126">
        <f t="shared" si="52"/>
        <v>8.8908506210982948E-3</v>
      </c>
      <c r="N38" s="123">
        <v>8.4</v>
      </c>
      <c r="O38" s="223">
        <v>44532</v>
      </c>
      <c r="P38" s="223">
        <v>44532</v>
      </c>
      <c r="Q38" s="237">
        <f>Table29[[#This Row],[Close Date]]-Table29[[#This Row],[Open Date]]</f>
        <v>0</v>
      </c>
      <c r="R38" s="178"/>
      <c r="T38" s="54"/>
      <c r="U38" s="135"/>
    </row>
    <row r="39" spans="2:21" x14ac:dyDescent="0.25">
      <c r="B39" s="220">
        <v>23</v>
      </c>
      <c r="C39" s="121" t="e" vm="64">
        <v>#VALUE!</v>
      </c>
      <c r="D39" s="121" t="s">
        <v>10</v>
      </c>
      <c r="E39" s="120" t="s">
        <v>13</v>
      </c>
      <c r="F39" s="122">
        <v>28.9</v>
      </c>
      <c r="G39" s="187">
        <v>150</v>
      </c>
      <c r="H39" s="122">
        <f>2.14+2.48+2.29</f>
        <v>6.91</v>
      </c>
      <c r="I39" s="122">
        <f t="shared" ref="I39:I41" si="53">((F39*G39)+H39)/G39</f>
        <v>28.946066666666667</v>
      </c>
      <c r="J39" s="244">
        <f t="shared" ref="J39:J41" si="54">I39*G39</f>
        <v>4341.91</v>
      </c>
      <c r="K39" s="122" cm="1">
        <f t="array" ref="K39">_FV(C39,"Price")</f>
        <v>23.45</v>
      </c>
      <c r="L39" s="122">
        <f t="shared" ref="L39:L41" si="55">(N39-I39)*G39</f>
        <v>12.590000000000146</v>
      </c>
      <c r="M39" s="126">
        <f t="shared" ref="M39:M41" si="56">L39/J39</f>
        <v>2.8996455476967844E-3</v>
      </c>
      <c r="N39" s="123">
        <v>29.03</v>
      </c>
      <c r="O39" s="223">
        <v>44532</v>
      </c>
      <c r="P39" s="223">
        <v>44532</v>
      </c>
      <c r="Q39" s="237">
        <f>Table29[[#This Row],[Close Date]]-Table29[[#This Row],[Open Date]]</f>
        <v>0</v>
      </c>
      <c r="R39" s="178"/>
      <c r="T39" s="54"/>
      <c r="U39" s="135"/>
    </row>
    <row r="40" spans="2:21" x14ac:dyDescent="0.25">
      <c r="B40" s="220">
        <v>24</v>
      </c>
      <c r="C40" s="121" t="e" vm="65">
        <v>#VALUE!</v>
      </c>
      <c r="D40" s="121" t="s">
        <v>21</v>
      </c>
      <c r="E40" s="120" t="s">
        <v>13</v>
      </c>
      <c r="F40" s="122">
        <v>6.85</v>
      </c>
      <c r="G40" s="187">
        <v>670</v>
      </c>
      <c r="H40" s="122">
        <f>8.64+3.52+5.22</f>
        <v>17.38</v>
      </c>
      <c r="I40" s="122">
        <f t="shared" si="53"/>
        <v>6.8759402985074631</v>
      </c>
      <c r="J40" s="244">
        <f t="shared" si="54"/>
        <v>4606.88</v>
      </c>
      <c r="K40" s="122" cm="1">
        <f t="array" ref="K40">_FV(C40,"Price")</f>
        <v>5.22</v>
      </c>
      <c r="L40" s="122">
        <f t="shared" si="55"/>
        <v>15.720000000000098</v>
      </c>
      <c r="M40" s="126">
        <f t="shared" si="56"/>
        <v>3.412287708818137E-3</v>
      </c>
      <c r="N40" s="123">
        <f>(6.872*400+6.94*270)/670</f>
        <v>6.8994029850746275</v>
      </c>
      <c r="O40" s="223">
        <v>44532</v>
      </c>
      <c r="P40" s="223">
        <v>44532</v>
      </c>
      <c r="Q40" s="237">
        <f>Table29[[#This Row],[Close Date]]-Table29[[#This Row],[Open Date]]</f>
        <v>0</v>
      </c>
      <c r="R40" s="178"/>
      <c r="T40" s="54"/>
      <c r="U40" s="135"/>
    </row>
    <row r="41" spans="2:21" x14ac:dyDescent="0.25">
      <c r="B41" s="220">
        <v>25</v>
      </c>
      <c r="C41" s="121" t="e" vm="11">
        <v>#VALUE!</v>
      </c>
      <c r="D41" s="121" t="s">
        <v>10</v>
      </c>
      <c r="E41" s="120" t="s">
        <v>13</v>
      </c>
      <c r="F41" s="122">
        <v>31.8</v>
      </c>
      <c r="G41" s="187">
        <v>100</v>
      </c>
      <c r="H41" s="122">
        <f>2.29+2.32</f>
        <v>4.6099999999999994</v>
      </c>
      <c r="I41" s="122">
        <f t="shared" si="53"/>
        <v>31.8461</v>
      </c>
      <c r="J41" s="244">
        <f t="shared" si="54"/>
        <v>3184.61</v>
      </c>
      <c r="K41" s="122" cm="1">
        <f t="array" ref="K41">_FV(C41,"Price")</f>
        <v>26.48</v>
      </c>
      <c r="L41" s="122">
        <f t="shared" si="55"/>
        <v>65.390000000000015</v>
      </c>
      <c r="M41" s="126">
        <f t="shared" si="56"/>
        <v>2.0533126505286367E-2</v>
      </c>
      <c r="N41" s="123">
        <v>32.5</v>
      </c>
      <c r="O41" s="223">
        <v>44533</v>
      </c>
      <c r="P41" s="223">
        <v>44533</v>
      </c>
      <c r="Q41" s="237">
        <f>Table29[[#This Row],[Close Date]]-Table29[[#This Row],[Open Date]]</f>
        <v>0</v>
      </c>
      <c r="R41" s="178"/>
      <c r="T41" s="54"/>
      <c r="U41" s="135"/>
    </row>
    <row r="42" spans="2:21" x14ac:dyDescent="0.25">
      <c r="B42" s="220">
        <v>26</v>
      </c>
      <c r="C42" s="121" t="e" vm="50">
        <v>#VALUE!</v>
      </c>
      <c r="D42" s="121" t="s">
        <v>10</v>
      </c>
      <c r="E42" s="120" t="s">
        <v>13</v>
      </c>
      <c r="F42" s="122">
        <v>54.5</v>
      </c>
      <c r="G42" s="187">
        <v>80</v>
      </c>
      <c r="H42" s="122">
        <f>2.23+2.26</f>
        <v>4.49</v>
      </c>
      <c r="I42" s="122">
        <f t="shared" ref="I42:I44" si="57">((F42*G42)+H42)/G42</f>
        <v>54.556124999999994</v>
      </c>
      <c r="J42" s="244">
        <f t="shared" ref="J42:J44" si="58">I42*G42</f>
        <v>4364.49</v>
      </c>
      <c r="K42" s="122" cm="1">
        <f t="array" ref="K42">_FV(C42,"Price")</f>
        <v>43.67</v>
      </c>
      <c r="L42" s="122">
        <f t="shared" ref="L42:L44" si="59">(N42-I42)*G42</f>
        <v>19.510000000000218</v>
      </c>
      <c r="M42" s="126">
        <f t="shared" ref="M42:M44" si="60">L42/J42</f>
        <v>4.4701671902101321E-3</v>
      </c>
      <c r="N42" s="123">
        <v>54.8</v>
      </c>
      <c r="O42" s="223">
        <v>44533</v>
      </c>
      <c r="P42" s="223">
        <v>44533</v>
      </c>
      <c r="Q42" s="237">
        <f>Table29[[#This Row],[Close Date]]-Table29[[#This Row],[Open Date]]</f>
        <v>0</v>
      </c>
      <c r="R42" s="178"/>
      <c r="T42" s="54"/>
      <c r="U42" s="135"/>
    </row>
    <row r="43" spans="2:21" x14ac:dyDescent="0.25">
      <c r="B43" s="220">
        <v>27</v>
      </c>
      <c r="C43" s="121" t="e" vm="65">
        <v>#VALUE!</v>
      </c>
      <c r="D43" s="121" t="s">
        <v>21</v>
      </c>
      <c r="E43" s="120" t="s">
        <v>13</v>
      </c>
      <c r="F43" s="122">
        <v>6.1</v>
      </c>
      <c r="G43" s="187">
        <v>700</v>
      </c>
      <c r="H43" s="122">
        <f>9.13+9.03</f>
        <v>18.16</v>
      </c>
      <c r="I43" s="122">
        <f t="shared" si="57"/>
        <v>6.1259428571428574</v>
      </c>
      <c r="J43" s="244">
        <f t="shared" si="58"/>
        <v>4288.16</v>
      </c>
      <c r="K43" s="122" cm="1">
        <f t="array" ref="K43">_FV(C43,"Price")</f>
        <v>5.22</v>
      </c>
      <c r="L43" s="122">
        <f t="shared" si="59"/>
        <v>23.83999999999995</v>
      </c>
      <c r="M43" s="126">
        <f t="shared" si="60"/>
        <v>5.5594940487295134E-3</v>
      </c>
      <c r="N43" s="123">
        <v>6.16</v>
      </c>
      <c r="O43" s="223">
        <v>44533</v>
      </c>
      <c r="P43" s="223">
        <v>44533</v>
      </c>
      <c r="Q43" s="237">
        <f>Table29[[#This Row],[Close Date]]-Table29[[#This Row],[Open Date]]</f>
        <v>0</v>
      </c>
      <c r="R43" s="178"/>
      <c r="T43" s="54"/>
      <c r="U43" s="135"/>
    </row>
    <row r="44" spans="2:21" x14ac:dyDescent="0.25">
      <c r="B44" s="221">
        <v>28</v>
      </c>
      <c r="C44" s="69" t="e" vm="11">
        <v>#VALUE!</v>
      </c>
      <c r="D44" s="69" t="s">
        <v>10</v>
      </c>
      <c r="E44" s="116" t="s">
        <v>13</v>
      </c>
      <c r="F44" s="173">
        <f>(150*30.18+28.9*8)/158</f>
        <v>30.115189873417719</v>
      </c>
      <c r="G44" s="188">
        <v>158</v>
      </c>
      <c r="H44" s="173">
        <f>2.44+2.01+2.5</f>
        <v>6.9499999999999993</v>
      </c>
      <c r="I44" s="173">
        <f t="shared" si="57"/>
        <v>30.159177215189871</v>
      </c>
      <c r="J44" s="245">
        <f t="shared" si="58"/>
        <v>4765.1499999999996</v>
      </c>
      <c r="K44" s="173" cm="1">
        <f t="array" ref="K44">_FV(C44,"Price")</f>
        <v>26.48</v>
      </c>
      <c r="L44" s="533">
        <f t="shared" si="59"/>
        <v>-341.14999999999964</v>
      </c>
      <c r="M44" s="117">
        <f t="shared" si="60"/>
        <v>-7.1592709568429044E-2</v>
      </c>
      <c r="N44" s="173">
        <v>28</v>
      </c>
      <c r="O44" s="224">
        <v>44533</v>
      </c>
      <c r="P44" s="224">
        <v>44536</v>
      </c>
      <c r="Q44" s="238">
        <f>Table29[[#This Row],[Close Date]]-Table29[[#This Row],[Open Date]]</f>
        <v>3</v>
      </c>
      <c r="R44" s="430"/>
    </row>
    <row r="45" spans="2:21" x14ac:dyDescent="0.25">
      <c r="B45" s="220">
        <v>29</v>
      </c>
      <c r="C45" s="121" t="e" vm="66">
        <v>#VALUE!</v>
      </c>
      <c r="D45" s="121" t="s">
        <v>21</v>
      </c>
      <c r="E45" s="120" t="s">
        <v>13</v>
      </c>
      <c r="F45" s="122">
        <v>18.5</v>
      </c>
      <c r="G45" s="187">
        <v>200</v>
      </c>
      <c r="H45" s="122">
        <f>2.59+2.63</f>
        <v>5.22</v>
      </c>
      <c r="I45" s="122">
        <f t="shared" ref="I45" si="61">((F45*G45)+H45)/G45</f>
        <v>18.5261</v>
      </c>
      <c r="J45" s="244">
        <f t="shared" ref="J45" si="62">I45*G45</f>
        <v>3705.22</v>
      </c>
      <c r="K45" s="122" cm="1">
        <f t="array" ref="K45">_FV(C45,"Price")</f>
        <v>12.31</v>
      </c>
      <c r="L45" s="122">
        <f t="shared" ref="L45" si="63">(N45-I45)*G45</f>
        <v>54.780000000000229</v>
      </c>
      <c r="M45" s="126">
        <f t="shared" ref="M45" si="64">L45/J45</f>
        <v>1.4784547206373773E-2</v>
      </c>
      <c r="N45" s="123">
        <v>18.8</v>
      </c>
      <c r="O45" s="223">
        <v>44536</v>
      </c>
      <c r="P45" s="223">
        <v>44536</v>
      </c>
      <c r="Q45" s="237">
        <f>Table29[[#This Row],[Close Date]]-Table29[[#This Row],[Open Date]]</f>
        <v>0</v>
      </c>
      <c r="R45" s="178"/>
      <c r="T45" s="54"/>
      <c r="U45" s="135"/>
    </row>
    <row r="46" spans="2:21" x14ac:dyDescent="0.25">
      <c r="B46" s="221">
        <v>30</v>
      </c>
      <c r="C46" s="69" t="e" vm="66">
        <v>#VALUE!</v>
      </c>
      <c r="D46" s="69" t="s">
        <v>21</v>
      </c>
      <c r="E46" s="116" t="s">
        <v>13</v>
      </c>
      <c r="F46" s="173">
        <v>20</v>
      </c>
      <c r="G46" s="188">
        <v>220</v>
      </c>
      <c r="H46" s="173">
        <f>2.84+2.63+2.07+0.35</f>
        <v>7.8899999999999988</v>
      </c>
      <c r="I46" s="173">
        <f t="shared" ref="I46:I48" si="65">((F46*G46)+H46)/G46</f>
        <v>20.035863636363636</v>
      </c>
      <c r="J46" s="245">
        <f t="shared" ref="J46:J48" si="66">I46*G46</f>
        <v>4407.8900000000003</v>
      </c>
      <c r="K46" s="173" cm="1">
        <f t="array" ref="K46">_FV(C46,"Price")</f>
        <v>12.31</v>
      </c>
      <c r="L46" s="533">
        <f t="shared" ref="L46:L48" si="67">(N46-I46)*G46</f>
        <v>-147.8900000000001</v>
      </c>
      <c r="M46" s="117">
        <f t="shared" ref="M46:M48" si="68">L46/J46</f>
        <v>-3.3551200234125646E-2</v>
      </c>
      <c r="N46" s="173">
        <f>(19.3*200+20*20)/220</f>
        <v>19.363636363636363</v>
      </c>
      <c r="O46" s="224">
        <v>44536</v>
      </c>
      <c r="P46" s="224">
        <v>44537</v>
      </c>
      <c r="Q46" s="238">
        <f>Table29[[#This Row],[Close Date]]-Table29[[#This Row],[Open Date]]</f>
        <v>1</v>
      </c>
      <c r="R46" s="430"/>
    </row>
    <row r="47" spans="2:21" x14ac:dyDescent="0.25">
      <c r="B47" s="221">
        <v>31</v>
      </c>
      <c r="C47" s="69" t="e" vm="66">
        <v>#VALUE!</v>
      </c>
      <c r="D47" s="69" t="s">
        <v>21</v>
      </c>
      <c r="E47" s="116" t="s">
        <v>13</v>
      </c>
      <c r="F47" s="173">
        <v>22.15</v>
      </c>
      <c r="G47" s="188">
        <v>190</v>
      </c>
      <c r="H47" s="173">
        <f>2.56+2.13+2.48+0.47</f>
        <v>7.64</v>
      </c>
      <c r="I47" s="173">
        <f t="shared" si="65"/>
        <v>22.190210526315791</v>
      </c>
      <c r="J47" s="245">
        <f t="shared" si="66"/>
        <v>4216.1400000000003</v>
      </c>
      <c r="K47" s="173" cm="1">
        <f t="array" ref="K47">_FV(C47,"Price")</f>
        <v>12.31</v>
      </c>
      <c r="L47" s="533">
        <f t="shared" si="67"/>
        <v>-331.14000000000067</v>
      </c>
      <c r="M47" s="117">
        <f t="shared" si="68"/>
        <v>-7.8541035164866588E-2</v>
      </c>
      <c r="N47" s="173">
        <f>(20.3*150+21*40)/190</f>
        <v>20.44736842105263</v>
      </c>
      <c r="O47" s="224">
        <v>44538</v>
      </c>
      <c r="P47" s="224">
        <v>44538</v>
      </c>
      <c r="Q47" s="238">
        <f>Table29[[#This Row],[Close Date]]-Table29[[#This Row],[Open Date]]</f>
        <v>0</v>
      </c>
      <c r="R47" s="430"/>
    </row>
    <row r="48" spans="2:21" x14ac:dyDescent="0.25">
      <c r="B48" s="221">
        <v>32</v>
      </c>
      <c r="C48" s="69" t="e" vm="50">
        <v>#VALUE!</v>
      </c>
      <c r="D48" s="69" t="s">
        <v>10</v>
      </c>
      <c r="E48" s="116" t="s">
        <v>13</v>
      </c>
      <c r="F48" s="173">
        <v>65</v>
      </c>
      <c r="G48" s="188">
        <v>60</v>
      </c>
      <c r="H48" s="173">
        <f>2.17+2.2</f>
        <v>4.37</v>
      </c>
      <c r="I48" s="173">
        <f t="shared" si="65"/>
        <v>65.072833333333335</v>
      </c>
      <c r="J48" s="245">
        <f t="shared" si="66"/>
        <v>3904.37</v>
      </c>
      <c r="K48" s="173" cm="1">
        <f t="array" ref="K48">_FV(C48,"Price")</f>
        <v>43.67</v>
      </c>
      <c r="L48" s="533">
        <f t="shared" si="67"/>
        <v>-76.370000000000289</v>
      </c>
      <c r="M48" s="117">
        <f t="shared" si="68"/>
        <v>-1.9560133901244066E-2</v>
      </c>
      <c r="N48" s="173">
        <v>63.8</v>
      </c>
      <c r="O48" s="224">
        <v>44539</v>
      </c>
      <c r="P48" s="224">
        <v>44539</v>
      </c>
      <c r="Q48" s="238">
        <f>Table29[[#This Row],[Close Date]]-Table29[[#This Row],[Open Date]]</f>
        <v>0</v>
      </c>
      <c r="R48" s="430"/>
    </row>
    <row r="49" spans="2:21" x14ac:dyDescent="0.25">
      <c r="B49" s="220">
        <v>33</v>
      </c>
      <c r="C49" s="121" t="e" vm="40">
        <v>#VALUE!</v>
      </c>
      <c r="D49" s="121" t="s">
        <v>10</v>
      </c>
      <c r="E49" s="120" t="s">
        <v>13</v>
      </c>
      <c r="F49" s="122">
        <v>79.7</v>
      </c>
      <c r="G49" s="187">
        <v>46</v>
      </c>
      <c r="H49" s="122">
        <f>2.13+2.16</f>
        <v>4.29</v>
      </c>
      <c r="I49" s="122">
        <f t="shared" ref="I49" si="69">((F49*G49)+H49)/G49</f>
        <v>79.793260869565216</v>
      </c>
      <c r="J49" s="244">
        <f t="shared" ref="J49" si="70">I49*G49</f>
        <v>3670.49</v>
      </c>
      <c r="K49" s="122" cm="1">
        <f t="array" ref="K49">_FV(C49,"Price")</f>
        <v>59.77</v>
      </c>
      <c r="L49" s="122">
        <f t="shared" ref="L49" si="71">(N49-I49)*G49</f>
        <v>9.5100000000000477</v>
      </c>
      <c r="M49" s="126">
        <f t="shared" ref="M49" si="72">L49/J49</f>
        <v>2.5909347253364125E-3</v>
      </c>
      <c r="N49" s="123">
        <v>80</v>
      </c>
      <c r="O49" s="223">
        <v>44539</v>
      </c>
      <c r="P49" s="223">
        <v>44539</v>
      </c>
      <c r="Q49" s="237">
        <f>Table29[[#This Row],[Close Date]]-Table29[[#This Row],[Open Date]]</f>
        <v>0</v>
      </c>
      <c r="R49" s="178"/>
      <c r="T49" s="54"/>
      <c r="U49" s="135"/>
    </row>
    <row r="50" spans="2:21" x14ac:dyDescent="0.25">
      <c r="B50" s="220">
        <v>34</v>
      </c>
      <c r="C50" s="121" t="e" vm="67">
        <v>#VALUE!</v>
      </c>
      <c r="D50" s="121" t="s">
        <v>21</v>
      </c>
      <c r="E50" s="120" t="s">
        <v>13</v>
      </c>
      <c r="F50" s="122">
        <v>52.5</v>
      </c>
      <c r="G50" s="187">
        <v>60</v>
      </c>
      <c r="H50" s="122">
        <f t="shared" ref="H50:H52" si="73">2.13+2.16</f>
        <v>4.29</v>
      </c>
      <c r="I50" s="122">
        <f t="shared" ref="I50:I52" si="74">((F50*G50)+H50)/G50</f>
        <v>52.5715</v>
      </c>
      <c r="J50" s="244">
        <f t="shared" ref="J50:J52" si="75">I50*G50</f>
        <v>3154.29</v>
      </c>
      <c r="K50" s="122" cm="1">
        <f t="array" ref="K50">_FV(C50,"Price")</f>
        <v>48.8</v>
      </c>
      <c r="L50" s="122">
        <f t="shared" ref="L50:L52" si="76">(N50-I50)*G50</f>
        <v>25.70999999999998</v>
      </c>
      <c r="M50" s="126">
        <f t="shared" ref="M50:M52" si="77">L50/J50</f>
        <v>8.150804142929147E-3</v>
      </c>
      <c r="N50" s="123">
        <v>53</v>
      </c>
      <c r="O50" s="223">
        <v>44540</v>
      </c>
      <c r="P50" s="223">
        <v>44540</v>
      </c>
      <c r="Q50" s="237">
        <f>Table29[[#This Row],[Close Date]]-Table29[[#This Row],[Open Date]]</f>
        <v>0</v>
      </c>
      <c r="R50" s="178"/>
      <c r="T50" s="54"/>
      <c r="U50" s="135"/>
    </row>
    <row r="51" spans="2:21" x14ac:dyDescent="0.25">
      <c r="B51" s="220">
        <v>35</v>
      </c>
      <c r="C51" s="121" t="e" vm="68">
        <v>#VALUE!</v>
      </c>
      <c r="D51" s="121" t="s">
        <v>10</v>
      </c>
      <c r="E51" s="120" t="s">
        <v>13</v>
      </c>
      <c r="F51" s="122">
        <v>39.799999999999997</v>
      </c>
      <c r="G51" s="187">
        <v>85</v>
      </c>
      <c r="H51" s="122">
        <f t="shared" si="73"/>
        <v>4.29</v>
      </c>
      <c r="I51" s="122">
        <f t="shared" si="74"/>
        <v>39.850470588235289</v>
      </c>
      <c r="J51" s="244">
        <f t="shared" si="75"/>
        <v>3387.2899999999995</v>
      </c>
      <c r="K51" s="122" cm="1">
        <f t="array" ref="K51">_FV(C51,"Price")</f>
        <v>28.07</v>
      </c>
      <c r="L51" s="122">
        <f t="shared" si="76"/>
        <v>38.210000000000157</v>
      </c>
      <c r="M51" s="126">
        <f t="shared" si="77"/>
        <v>1.1280404098851933E-2</v>
      </c>
      <c r="N51" s="123">
        <v>40.299999999999997</v>
      </c>
      <c r="O51" s="223">
        <v>44540</v>
      </c>
      <c r="P51" s="223">
        <v>44540</v>
      </c>
      <c r="Q51" s="237">
        <f>Table29[[#This Row],[Close Date]]-Table29[[#This Row],[Open Date]]</f>
        <v>0</v>
      </c>
      <c r="R51" s="178"/>
      <c r="T51" s="54"/>
      <c r="U51" s="135"/>
    </row>
    <row r="52" spans="2:21" x14ac:dyDescent="0.25">
      <c r="B52" s="220">
        <v>36</v>
      </c>
      <c r="C52" s="121" t="e" vm="27">
        <v>#VALUE!</v>
      </c>
      <c r="D52" s="121" t="s">
        <v>10</v>
      </c>
      <c r="E52" s="120" t="s">
        <v>13</v>
      </c>
      <c r="F52" s="122">
        <v>57.9</v>
      </c>
      <c r="G52" s="187">
        <v>78</v>
      </c>
      <c r="H52" s="122">
        <f t="shared" si="73"/>
        <v>4.29</v>
      </c>
      <c r="I52" s="122">
        <f t="shared" si="74"/>
        <v>57.954999999999998</v>
      </c>
      <c r="J52" s="244">
        <f t="shared" si="75"/>
        <v>4520.49</v>
      </c>
      <c r="K52" s="122" cm="1">
        <f t="array" ref="K52">_FV(C52,"Price")</f>
        <v>80.010000000000005</v>
      </c>
      <c r="L52" s="122">
        <f t="shared" si="76"/>
        <v>19.110000000000355</v>
      </c>
      <c r="M52" s="126">
        <f t="shared" si="77"/>
        <v>4.2274178241740066E-3</v>
      </c>
      <c r="N52" s="123">
        <v>58.2</v>
      </c>
      <c r="O52" s="223">
        <v>44540</v>
      </c>
      <c r="P52" s="223">
        <v>44540</v>
      </c>
      <c r="Q52" s="237">
        <f>Table29[[#This Row],[Close Date]]-Table29[[#This Row],[Open Date]]</f>
        <v>0</v>
      </c>
      <c r="R52" s="178"/>
      <c r="T52" s="54"/>
      <c r="U52" s="135"/>
    </row>
    <row r="53" spans="2:21" x14ac:dyDescent="0.25">
      <c r="B53" s="221">
        <v>37</v>
      </c>
      <c r="C53" s="69" t="e" vm="28">
        <v>#VALUE!</v>
      </c>
      <c r="D53" s="69" t="s">
        <v>10</v>
      </c>
      <c r="E53" s="116" t="s">
        <v>13</v>
      </c>
      <c r="F53" s="173">
        <v>294</v>
      </c>
      <c r="G53" s="188">
        <v>15</v>
      </c>
      <c r="H53" s="173">
        <f>2.13+2.16+0.35*2</f>
        <v>4.99</v>
      </c>
      <c r="I53" s="173">
        <f t="shared" ref="I53" si="78">((F53*G53)+H53)/G53</f>
        <v>294.33266666666663</v>
      </c>
      <c r="J53" s="245">
        <f t="shared" ref="J53" si="79">I53*G53</f>
        <v>4414.99</v>
      </c>
      <c r="K53" s="173" cm="1">
        <f t="array" ref="K53">_FV(C53,"Price")</f>
        <v>282.19</v>
      </c>
      <c r="L53" s="533">
        <f t="shared" ref="L53" si="80">(N53-I53)*G53</f>
        <v>-124.98999999999938</v>
      </c>
      <c r="M53" s="117">
        <f t="shared" ref="M53" si="81">L53/J53</f>
        <v>-2.8310369898912429E-2</v>
      </c>
      <c r="N53" s="173">
        <v>286</v>
      </c>
      <c r="O53" s="224">
        <v>44543</v>
      </c>
      <c r="P53" s="224">
        <v>44545</v>
      </c>
      <c r="Q53" s="238">
        <f>Table29[[#This Row],[Close Date]]-Table29[[#This Row],[Open Date]]</f>
        <v>2</v>
      </c>
      <c r="R53" s="430"/>
    </row>
    <row r="54" spans="2:21" x14ac:dyDescent="0.25">
      <c r="B54" s="220">
        <v>38</v>
      </c>
      <c r="C54" s="121" t="e" vm="28">
        <v>#VALUE!</v>
      </c>
      <c r="D54" s="121" t="s">
        <v>10</v>
      </c>
      <c r="E54" s="120" t="s">
        <v>13</v>
      </c>
      <c r="F54" s="122">
        <v>284</v>
      </c>
      <c r="G54" s="187">
        <v>14</v>
      </c>
      <c r="H54" s="122">
        <f>2.13+2.16</f>
        <v>4.29</v>
      </c>
      <c r="I54" s="122">
        <f t="shared" ref="I54" si="82">((F54*G54)+H54)/G54</f>
        <v>284.30642857142857</v>
      </c>
      <c r="J54" s="244">
        <f t="shared" ref="J54" si="83">I54*G54</f>
        <v>3980.29</v>
      </c>
      <c r="K54" s="122" cm="1">
        <f t="array" ref="K54">_FV(C54,"Price")</f>
        <v>282.19</v>
      </c>
      <c r="L54" s="122">
        <f t="shared" ref="L54" si="84">(N54-I54)*G54</f>
        <v>37.710000000000036</v>
      </c>
      <c r="M54" s="126">
        <f t="shared" ref="M54" si="85">L54/J54</f>
        <v>9.4741840418663056E-3</v>
      </c>
      <c r="N54" s="123">
        <v>287</v>
      </c>
      <c r="O54" s="223">
        <v>44545</v>
      </c>
      <c r="P54" s="223">
        <v>44545</v>
      </c>
      <c r="Q54" s="237">
        <f>Table29[[#This Row],[Close Date]]-Table29[[#This Row],[Open Date]]</f>
        <v>0</v>
      </c>
      <c r="R54" s="178"/>
      <c r="T54" s="54"/>
      <c r="U54" s="135"/>
    </row>
    <row r="55" spans="2:21" x14ac:dyDescent="0.25">
      <c r="B55" s="220">
        <v>39</v>
      </c>
      <c r="C55" s="121" t="e" vm="18">
        <v>#VALUE!</v>
      </c>
      <c r="D55" s="121" t="s">
        <v>21</v>
      </c>
      <c r="E55" s="120" t="s">
        <v>13</v>
      </c>
      <c r="F55" s="122">
        <v>5.5</v>
      </c>
      <c r="G55" s="187">
        <v>200</v>
      </c>
      <c r="H55" s="122">
        <f>2.59+2.62</f>
        <v>5.21</v>
      </c>
      <c r="I55" s="122">
        <f t="shared" ref="I55" si="86">((F55*G55)+H55)/G55</f>
        <v>5.5260500000000006</v>
      </c>
      <c r="J55" s="244">
        <f t="shared" ref="J55" si="87">I55*G55</f>
        <v>1105.21</v>
      </c>
      <c r="K55" s="122" cm="1">
        <f t="array" ref="K55">_FV(C55,"Price")</f>
        <v>6</v>
      </c>
      <c r="L55" s="122">
        <f t="shared" ref="L55" si="88">(N55-I55)*G55</f>
        <v>4.7899999999998499</v>
      </c>
      <c r="M55" s="126">
        <f t="shared" ref="M55" si="89">L55/J55</f>
        <v>4.334017969435537E-3</v>
      </c>
      <c r="N55" s="123">
        <v>5.55</v>
      </c>
      <c r="O55" s="223">
        <v>44545</v>
      </c>
      <c r="P55" s="223">
        <v>44545</v>
      </c>
      <c r="Q55" s="237">
        <f>Table29[[#This Row],[Close Date]]-Table29[[#This Row],[Open Date]]</f>
        <v>0</v>
      </c>
      <c r="R55" s="178"/>
      <c r="T55" s="54"/>
      <c r="U55" s="135"/>
    </row>
    <row r="56" spans="2:21" x14ac:dyDescent="0.25">
      <c r="B56" s="220">
        <v>40</v>
      </c>
      <c r="C56" s="121" t="e" vm="7">
        <v>#VALUE!</v>
      </c>
      <c r="D56" s="121" t="s">
        <v>10</v>
      </c>
      <c r="E56" s="120" t="s">
        <v>13</v>
      </c>
      <c r="F56" s="122">
        <v>324.88</v>
      </c>
      <c r="G56" s="187">
        <v>28</v>
      </c>
      <c r="H56" s="122">
        <f>2.07+2.13</f>
        <v>4.1999999999999993</v>
      </c>
      <c r="I56" s="122">
        <f t="shared" ref="I56:I57" si="90">((F56*G56)+H56)/G56</f>
        <v>325.03000000000003</v>
      </c>
      <c r="J56" s="244">
        <f t="shared" ref="J56:J57" si="91">I56*G56</f>
        <v>9100.84</v>
      </c>
      <c r="K56" s="122" cm="1">
        <f t="array" ref="K56">_FV(C56,"Price")</f>
        <v>223.59</v>
      </c>
      <c r="L56" s="122">
        <f t="shared" ref="L56:L57" si="92">(N56-I56)*G56</f>
        <v>4.759999999998854</v>
      </c>
      <c r="M56" s="126">
        <f t="shared" ref="M56:M57" si="93">L56/J56</f>
        <v>5.2302864350970389E-4</v>
      </c>
      <c r="N56" s="123">
        <v>325.2</v>
      </c>
      <c r="O56" s="223">
        <v>44550</v>
      </c>
      <c r="P56" s="223">
        <v>44550</v>
      </c>
      <c r="Q56" s="237">
        <f>Table29[[#This Row],[Close Date]]-Table29[[#This Row],[Open Date]]</f>
        <v>0</v>
      </c>
      <c r="R56" s="178"/>
      <c r="T56" s="54"/>
      <c r="U56" s="135"/>
    </row>
    <row r="57" spans="2:21" x14ac:dyDescent="0.25">
      <c r="B57" s="221">
        <v>41</v>
      </c>
      <c r="C57" s="69" t="e" vm="69">
        <v>#VALUE!</v>
      </c>
      <c r="D57" s="69" t="s">
        <v>10</v>
      </c>
      <c r="E57" s="116" t="s">
        <v>13</v>
      </c>
      <c r="F57" s="173">
        <v>5.17</v>
      </c>
      <c r="G57" s="188">
        <v>300</v>
      </c>
      <c r="H57" s="173">
        <f>6.52+3.87+2.07</f>
        <v>12.46</v>
      </c>
      <c r="I57" s="173">
        <f t="shared" si="90"/>
        <v>5.2115333333333336</v>
      </c>
      <c r="J57" s="245">
        <f t="shared" si="91"/>
        <v>1563.46</v>
      </c>
      <c r="K57" s="173" cm="1">
        <f t="array" ref="K57">_FV(C57,"Price")</f>
        <v>4.72</v>
      </c>
      <c r="L57" s="533">
        <f t="shared" si="92"/>
        <v>-78.460000000000022</v>
      </c>
      <c r="M57" s="117">
        <f t="shared" si="93"/>
        <v>-5.0183567216302315E-2</v>
      </c>
      <c r="N57" s="173">
        <v>4.95</v>
      </c>
      <c r="O57" s="224">
        <v>44551</v>
      </c>
      <c r="P57" s="224">
        <v>44551</v>
      </c>
      <c r="Q57" s="238">
        <f>Table29[[#This Row],[Close Date]]-Table29[[#This Row],[Open Date]]</f>
        <v>0</v>
      </c>
      <c r="R57" s="430"/>
    </row>
    <row r="58" spans="2:21" x14ac:dyDescent="0.25">
      <c r="B58" s="220">
        <v>42</v>
      </c>
      <c r="C58" s="121" t="e" vm="69">
        <v>#VALUE!</v>
      </c>
      <c r="D58" s="121" t="s">
        <v>10</v>
      </c>
      <c r="E58" s="120" t="s">
        <v>13</v>
      </c>
      <c r="F58" s="122">
        <v>4.9000000000000004</v>
      </c>
      <c r="G58" s="187">
        <v>220</v>
      </c>
      <c r="H58" s="122">
        <f>2.84+0.63</f>
        <v>3.4699999999999998</v>
      </c>
      <c r="I58" s="122">
        <f t="shared" ref="I58:I59" si="94">((F58*G58)+H58)/G58</f>
        <v>4.915772727272727</v>
      </c>
      <c r="J58" s="244">
        <f t="shared" ref="J58:J59" si="95">I58*G58</f>
        <v>1081.47</v>
      </c>
      <c r="K58" s="122" cm="1">
        <f t="array" ref="K58">_FV(C58,"Price")</f>
        <v>4.72</v>
      </c>
      <c r="L58" s="122">
        <f t="shared" ref="L58:L59" si="96">(N58-I58)*G58</f>
        <v>7.5300000000001077</v>
      </c>
      <c r="M58" s="126">
        <f t="shared" ref="M58:M59" si="97">L58/J58</f>
        <v>6.9627451524315121E-3</v>
      </c>
      <c r="N58" s="123">
        <v>4.95</v>
      </c>
      <c r="O58" s="223">
        <v>44551</v>
      </c>
      <c r="P58" s="223">
        <v>44553</v>
      </c>
      <c r="Q58" s="237">
        <f>Table29[[#This Row],[Close Date]]-Table29[[#This Row],[Open Date]]</f>
        <v>2</v>
      </c>
      <c r="R58" s="178"/>
      <c r="T58" s="54"/>
      <c r="U58" s="135"/>
    </row>
    <row r="59" spans="2:21" x14ac:dyDescent="0.25">
      <c r="B59" s="220">
        <v>43</v>
      </c>
      <c r="C59" s="121" t="e" vm="45">
        <v>#VALUE!</v>
      </c>
      <c r="D59" s="121" t="s">
        <v>10</v>
      </c>
      <c r="E59" s="120" t="s">
        <v>13</v>
      </c>
      <c r="F59" s="122">
        <v>92.7</v>
      </c>
      <c r="G59" s="187">
        <v>80</v>
      </c>
      <c r="H59" s="122">
        <f>2.07+2.23+1.43</f>
        <v>5.7299999999999995</v>
      </c>
      <c r="I59" s="122">
        <f t="shared" si="94"/>
        <v>92.771625</v>
      </c>
      <c r="J59" s="244">
        <f t="shared" si="95"/>
        <v>7421.73</v>
      </c>
      <c r="K59" s="122" cm="1">
        <f t="array" ref="K59">_FV(C59,"Price")</f>
        <v>79.86</v>
      </c>
      <c r="L59" s="122">
        <f t="shared" si="96"/>
        <v>18.269999999999982</v>
      </c>
      <c r="M59" s="126">
        <f t="shared" si="97"/>
        <v>2.4616901989158841E-3</v>
      </c>
      <c r="N59" s="123">
        <v>93</v>
      </c>
      <c r="O59" s="223">
        <v>44553</v>
      </c>
      <c r="P59" s="223">
        <v>44558</v>
      </c>
      <c r="Q59" s="237">
        <f>Table29[[#This Row],[Close Date]]-Table29[[#This Row],[Open Date]]</f>
        <v>5</v>
      </c>
      <c r="R59" s="178"/>
      <c r="T59" s="54"/>
      <c r="U59" s="135"/>
    </row>
    <row r="60" spans="2:21" x14ac:dyDescent="0.25">
      <c r="B60" s="220">
        <v>44</v>
      </c>
      <c r="C60" s="121" t="e" vm="70">
        <v>#VALUE!</v>
      </c>
      <c r="D60" s="121" t="s">
        <v>10</v>
      </c>
      <c r="E60" s="120" t="s">
        <v>13</v>
      </c>
      <c r="F60" s="122">
        <v>41</v>
      </c>
      <c r="G60" s="187">
        <v>50</v>
      </c>
      <c r="H60" s="122">
        <f>2.14+2.16+1.15</f>
        <v>5.4500000000000011</v>
      </c>
      <c r="I60" s="122">
        <f t="shared" ref="I60:I61" si="98">((F60*G60)+H60)/G60</f>
        <v>41.108999999999995</v>
      </c>
      <c r="J60" s="244">
        <f t="shared" ref="J60:J61" si="99">I60*G60</f>
        <v>2055.4499999999998</v>
      </c>
      <c r="K60" s="122" cm="1">
        <f t="array" ref="K60">_FV(C60,"Price")</f>
        <v>33.799999999999997</v>
      </c>
      <c r="L60" s="122">
        <f t="shared" ref="L60:L61" si="100">(N60-I60)*G60</f>
        <v>19.550000000000267</v>
      </c>
      <c r="M60" s="126">
        <f t="shared" ref="M60:M61" si="101">L60/J60</f>
        <v>9.511299228879451E-3</v>
      </c>
      <c r="N60" s="123">
        <v>41.5</v>
      </c>
      <c r="O60" s="223">
        <v>44558</v>
      </c>
      <c r="P60" s="223">
        <v>44560</v>
      </c>
      <c r="Q60" s="237">
        <f>Table29[[#This Row],[Close Date]]-Table29[[#This Row],[Open Date]]</f>
        <v>2</v>
      </c>
      <c r="R60" s="178"/>
      <c r="T60" s="54"/>
      <c r="U60" s="135"/>
    </row>
    <row r="61" spans="2:21" x14ac:dyDescent="0.25">
      <c r="B61" s="220">
        <v>45</v>
      </c>
      <c r="C61" s="121" t="e" vm="18">
        <v>#VALUE!</v>
      </c>
      <c r="D61" s="121" t="s">
        <v>21</v>
      </c>
      <c r="E61" s="120" t="s">
        <v>13</v>
      </c>
      <c r="F61" s="122">
        <v>5.4</v>
      </c>
      <c r="G61" s="187">
        <v>200</v>
      </c>
      <c r="H61" s="122">
        <f>2.59+2.62</f>
        <v>5.21</v>
      </c>
      <c r="I61" s="122">
        <f t="shared" si="98"/>
        <v>5.42605</v>
      </c>
      <c r="J61" s="244">
        <f t="shared" si="99"/>
        <v>1085.21</v>
      </c>
      <c r="K61" s="122" cm="1">
        <f t="array" ref="K61">_FV(C61,"Price")</f>
        <v>6</v>
      </c>
      <c r="L61" s="122">
        <f t="shared" si="100"/>
        <v>14.789999999999992</v>
      </c>
      <c r="M61" s="126">
        <f t="shared" si="101"/>
        <v>1.3628698592899063E-2</v>
      </c>
      <c r="N61" s="123">
        <v>5.5</v>
      </c>
      <c r="O61" s="223">
        <v>44559</v>
      </c>
      <c r="P61" s="223">
        <v>44560</v>
      </c>
      <c r="Q61" s="237">
        <f>Table29[[#This Row],[Close Date]]-Table29[[#This Row],[Open Date]]</f>
        <v>1</v>
      </c>
      <c r="R61" s="178"/>
      <c r="T61" s="54"/>
      <c r="U61" s="135"/>
    </row>
    <row r="62" spans="2:21" x14ac:dyDescent="0.25">
      <c r="B62" s="220">
        <v>46</v>
      </c>
      <c r="C62" s="121" t="e" vm="65">
        <v>#VALUE!</v>
      </c>
      <c r="D62" s="121" t="s">
        <v>21</v>
      </c>
      <c r="E62" s="120" t="s">
        <v>13</v>
      </c>
      <c r="F62" s="122">
        <v>6.65</v>
      </c>
      <c r="G62" s="187">
        <v>680</v>
      </c>
      <c r="H62" s="122">
        <f>8.87+8.77+0.26+0.44</f>
        <v>18.340000000000003</v>
      </c>
      <c r="I62" s="122">
        <f t="shared" ref="I62" si="102">((F62*G62)+H62)/G62</f>
        <v>6.6769705882352941</v>
      </c>
      <c r="J62" s="244">
        <f t="shared" ref="J62" si="103">I62*G62</f>
        <v>4540.34</v>
      </c>
      <c r="K62" s="122" cm="1">
        <f t="array" ref="K62">_FV(C62,"Price")</f>
        <v>5.22</v>
      </c>
      <c r="L62" s="122">
        <f t="shared" ref="L62" si="104">(N62-I62)*G62</f>
        <v>29.259999999999842</v>
      </c>
      <c r="M62" s="126">
        <f t="shared" ref="M62" si="105">L62/J62</f>
        <v>6.4444512965988977E-3</v>
      </c>
      <c r="N62" s="123">
        <v>6.72</v>
      </c>
      <c r="O62" s="223">
        <v>44560</v>
      </c>
      <c r="P62" s="223">
        <v>44561</v>
      </c>
      <c r="Q62" s="237">
        <f>Table29[[#This Row],[Close Date]]-Table29[[#This Row],[Open Date]]</f>
        <v>1</v>
      </c>
      <c r="R62" s="178"/>
      <c r="T62" s="54"/>
      <c r="U62" s="135"/>
    </row>
    <row r="63" spans="2:21" x14ac:dyDescent="0.25">
      <c r="B63" s="220">
        <v>47</v>
      </c>
      <c r="C63" s="121" t="e" vm="16">
        <v>#VALUE!</v>
      </c>
      <c r="D63" s="121" t="s">
        <v>21</v>
      </c>
      <c r="E63" s="120" t="s">
        <v>13</v>
      </c>
      <c r="F63" s="122">
        <v>50.4</v>
      </c>
      <c r="G63" s="187">
        <v>80</v>
      </c>
      <c r="H63" s="122">
        <f>2.23+2.26</f>
        <v>4.49</v>
      </c>
      <c r="I63" s="122">
        <f t="shared" ref="I63:I65" si="106">((F63*G63)+H63)/G63</f>
        <v>50.456125</v>
      </c>
      <c r="J63" s="244">
        <f t="shared" ref="J63:J65" si="107">I63*G63</f>
        <v>4036.49</v>
      </c>
      <c r="K63" s="122" cm="1">
        <f t="array" ref="K63">_FV(C63,"Price")</f>
        <v>27.13</v>
      </c>
      <c r="L63" s="122">
        <f t="shared" ref="L63:L65" si="108">(N63-I63)*G63</f>
        <v>43.509999999999991</v>
      </c>
      <c r="M63" s="126">
        <f t="shared" ref="M63:M65" si="109">L63/J63</f>
        <v>1.0779167048599152E-2</v>
      </c>
      <c r="N63" s="123">
        <v>51</v>
      </c>
      <c r="O63" s="223">
        <v>44561</v>
      </c>
      <c r="P63" s="223">
        <v>44561</v>
      </c>
      <c r="Q63" s="237">
        <f>Table29[[#This Row],[Close Date]]-Table29[[#This Row],[Open Date]]</f>
        <v>0</v>
      </c>
      <c r="R63" s="178"/>
      <c r="T63" s="54"/>
      <c r="U63" s="135"/>
    </row>
    <row r="64" spans="2:21" x14ac:dyDescent="0.25">
      <c r="B64" s="220">
        <v>48</v>
      </c>
      <c r="C64" s="121" t="e" vm="61">
        <v>#VALUE!</v>
      </c>
      <c r="D64" s="121" t="s">
        <v>21</v>
      </c>
      <c r="E64" s="120" t="s">
        <v>13</v>
      </c>
      <c r="F64" s="122">
        <v>43.8</v>
      </c>
      <c r="G64" s="187">
        <v>80</v>
      </c>
      <c r="H64" s="122">
        <f>2.23+2.26</f>
        <v>4.49</v>
      </c>
      <c r="I64" s="122">
        <f t="shared" si="106"/>
        <v>43.856124999999999</v>
      </c>
      <c r="J64" s="244">
        <f t="shared" si="107"/>
        <v>3508.49</v>
      </c>
      <c r="K64" s="122" cm="1">
        <f t="array" ref="K64">_FV(C64,"Price")</f>
        <v>27.01</v>
      </c>
      <c r="L64" s="122">
        <f t="shared" si="108"/>
        <v>11.510000000000105</v>
      </c>
      <c r="M64" s="126">
        <f t="shared" si="109"/>
        <v>3.2806135973025732E-3</v>
      </c>
      <c r="N64" s="123">
        <v>44</v>
      </c>
      <c r="O64" s="223">
        <v>44561</v>
      </c>
      <c r="P64" s="223">
        <v>44561</v>
      </c>
      <c r="Q64" s="237">
        <f>Table29[[#This Row],[Close Date]]-Table29[[#This Row],[Open Date]]</f>
        <v>0</v>
      </c>
      <c r="R64" s="178"/>
      <c r="T64" s="54"/>
      <c r="U64" s="135"/>
    </row>
    <row r="65" spans="2:21" x14ac:dyDescent="0.25">
      <c r="B65" s="221">
        <v>49</v>
      </c>
      <c r="C65" s="69" t="e" vm="18">
        <v>#VALUE!</v>
      </c>
      <c r="D65" s="69" t="s">
        <v>21</v>
      </c>
      <c r="E65" s="116" t="s">
        <v>13</v>
      </c>
      <c r="F65" s="173">
        <v>6</v>
      </c>
      <c r="G65" s="188">
        <v>600</v>
      </c>
      <c r="H65" s="173">
        <v>16.350000000000001</v>
      </c>
      <c r="I65" s="173">
        <f t="shared" si="106"/>
        <v>6.0272499999999996</v>
      </c>
      <c r="J65" s="245">
        <f t="shared" si="107"/>
        <v>3616.35</v>
      </c>
      <c r="K65" s="173" cm="1">
        <f t="array" ref="K65">_FV(C65,"Price")</f>
        <v>6</v>
      </c>
      <c r="L65" s="533">
        <f t="shared" si="108"/>
        <v>-190.34999999999974</v>
      </c>
      <c r="M65" s="117">
        <f t="shared" si="109"/>
        <v>-5.263594508274911E-2</v>
      </c>
      <c r="N65" s="173">
        <v>5.71</v>
      </c>
      <c r="O65" s="224">
        <v>44546</v>
      </c>
      <c r="P65" s="224">
        <v>44564</v>
      </c>
      <c r="Q65" s="238">
        <f>Table29[[#This Row],[Close Date]]-Table29[[#This Row],[Open Date]]</f>
        <v>18</v>
      </c>
      <c r="R65" s="430"/>
    </row>
    <row r="66" spans="2:21" x14ac:dyDescent="0.25">
      <c r="B66" s="221">
        <v>50</v>
      </c>
      <c r="C66" s="69" t="e" vm="16">
        <v>#VALUE!</v>
      </c>
      <c r="D66" s="69" t="s">
        <v>21</v>
      </c>
      <c r="E66" s="116" t="s">
        <v>13</v>
      </c>
      <c r="F66" s="173">
        <v>51.5</v>
      </c>
      <c r="G66" s="188">
        <v>150</v>
      </c>
      <c r="H66" s="173">
        <f>2.44+2.5</f>
        <v>4.9399999999999995</v>
      </c>
      <c r="I66" s="173">
        <f t="shared" ref="I66" si="110">((F66*G66)+H66)/G66</f>
        <v>51.532933333333332</v>
      </c>
      <c r="J66" s="245">
        <f t="shared" ref="J66" si="111">I66*G66</f>
        <v>7729.94</v>
      </c>
      <c r="K66" s="173" cm="1">
        <f t="array" ref="K66">_FV(C66,"Price")</f>
        <v>27.13</v>
      </c>
      <c r="L66" s="533">
        <f t="shared" ref="L66" si="112">(N66-I66)*G66</f>
        <v>-349.93999999999943</v>
      </c>
      <c r="M66" s="117">
        <f t="shared" ref="M66" si="113">L66/J66</f>
        <v>-4.5270726551564368E-2</v>
      </c>
      <c r="N66" s="173">
        <v>49.2</v>
      </c>
      <c r="O66" s="224">
        <v>44564</v>
      </c>
      <c r="P66" s="224">
        <v>44564</v>
      </c>
      <c r="Q66" s="238">
        <f>Table29[[#This Row],[Close Date]]-Table29[[#This Row],[Open Date]]</f>
        <v>0</v>
      </c>
      <c r="R66" s="430"/>
    </row>
    <row r="67" spans="2:21" x14ac:dyDescent="0.25">
      <c r="B67" s="220">
        <v>51</v>
      </c>
      <c r="C67" s="121" t="e" vm="70">
        <v>#VALUE!</v>
      </c>
      <c r="D67" s="121" t="s">
        <v>21</v>
      </c>
      <c r="E67" s="120" t="s">
        <v>13</v>
      </c>
      <c r="F67" s="122">
        <v>41.5</v>
      </c>
      <c r="G67" s="187">
        <v>200</v>
      </c>
      <c r="H67" s="122">
        <f>2.59+2.65</f>
        <v>5.24</v>
      </c>
      <c r="I67" s="122">
        <f t="shared" ref="I67:I70" si="114">((F67*G67)+H67)/G67</f>
        <v>41.526199999999996</v>
      </c>
      <c r="J67" s="244">
        <f t="shared" ref="J67:J70" si="115">I67*G67</f>
        <v>8305.24</v>
      </c>
      <c r="K67" s="122" cm="1">
        <f t="array" ref="K67">_FV(C67,"Price")</f>
        <v>33.799999999999997</v>
      </c>
      <c r="L67" s="122">
        <f t="shared" ref="L67:L70" si="116">(N67-I67)*G67</f>
        <v>114.76000000000113</v>
      </c>
      <c r="M67" s="126">
        <f t="shared" ref="M67:M70" si="117">L67/J67</f>
        <v>1.3817782508392428E-2</v>
      </c>
      <c r="N67" s="123">
        <v>42.1</v>
      </c>
      <c r="O67" s="223">
        <v>44564</v>
      </c>
      <c r="P67" s="223">
        <v>44564</v>
      </c>
      <c r="Q67" s="237">
        <f>Table29[[#This Row],[Close Date]]-Table29[[#This Row],[Open Date]]</f>
        <v>0</v>
      </c>
      <c r="R67" s="178"/>
      <c r="T67" s="54"/>
      <c r="U67" s="135"/>
    </row>
    <row r="68" spans="2:21" x14ac:dyDescent="0.25">
      <c r="B68" s="220">
        <v>52</v>
      </c>
      <c r="C68" s="121" t="e" vm="16">
        <v>#VALUE!</v>
      </c>
      <c r="D68" s="121" t="s">
        <v>21</v>
      </c>
      <c r="E68" s="120" t="s">
        <v>13</v>
      </c>
      <c r="F68" s="122">
        <v>48.8</v>
      </c>
      <c r="G68" s="187">
        <v>150</v>
      </c>
      <c r="H68" s="122">
        <f>2.44+2.5</f>
        <v>4.9399999999999995</v>
      </c>
      <c r="I68" s="122">
        <f t="shared" si="114"/>
        <v>48.83293333333333</v>
      </c>
      <c r="J68" s="244">
        <f t="shared" si="115"/>
        <v>7324.94</v>
      </c>
      <c r="K68" s="122" cm="1">
        <f t="array" ref="K68">_FV(C68,"Price")</f>
        <v>27.13</v>
      </c>
      <c r="L68" s="122">
        <f t="shared" si="116"/>
        <v>55.060000000000997</v>
      </c>
      <c r="M68" s="126">
        <f t="shared" si="117"/>
        <v>7.5167851204243309E-3</v>
      </c>
      <c r="N68" s="123">
        <v>49.2</v>
      </c>
      <c r="O68" s="223">
        <v>44564</v>
      </c>
      <c r="P68" s="223">
        <v>44564</v>
      </c>
      <c r="Q68" s="237">
        <f>Table29[[#This Row],[Close Date]]-Table29[[#This Row],[Open Date]]</f>
        <v>0</v>
      </c>
      <c r="R68" s="178"/>
      <c r="T68" s="54"/>
      <c r="U68" s="135"/>
    </row>
    <row r="69" spans="2:21" x14ac:dyDescent="0.25">
      <c r="B69" s="220">
        <v>53</v>
      </c>
      <c r="C69" s="121" t="e" vm="24">
        <v>#VALUE!</v>
      </c>
      <c r="D69" s="121" t="s">
        <v>21</v>
      </c>
      <c r="E69" s="120" t="s">
        <v>13</v>
      </c>
      <c r="F69" s="122">
        <v>101</v>
      </c>
      <c r="G69" s="187">
        <v>74</v>
      </c>
      <c r="H69" s="122">
        <f>2.26+2.21</f>
        <v>4.47</v>
      </c>
      <c r="I69" s="122">
        <f t="shared" si="114"/>
        <v>101.0604054054054</v>
      </c>
      <c r="J69" s="244">
        <f t="shared" si="115"/>
        <v>7478.47</v>
      </c>
      <c r="K69" s="122" cm="1">
        <f t="array" ref="K69">_FV(C69,"Price")</f>
        <v>93.82</v>
      </c>
      <c r="L69" s="122">
        <f t="shared" si="116"/>
        <v>19.949999999999932</v>
      </c>
      <c r="M69" s="126">
        <f t="shared" si="117"/>
        <v>2.6676579567745718E-3</v>
      </c>
      <c r="N69" s="123">
        <v>101.33</v>
      </c>
      <c r="O69" s="223">
        <v>44564</v>
      </c>
      <c r="P69" s="223">
        <v>44564</v>
      </c>
      <c r="Q69" s="237">
        <f>Table29[[#This Row],[Close Date]]-Table29[[#This Row],[Open Date]]</f>
        <v>0</v>
      </c>
      <c r="R69" s="178"/>
      <c r="T69" s="54"/>
      <c r="U69" s="135"/>
    </row>
    <row r="70" spans="2:21" x14ac:dyDescent="0.25">
      <c r="B70" s="220">
        <v>54</v>
      </c>
      <c r="C70" s="121" t="e" vm="50">
        <v>#VALUE!</v>
      </c>
      <c r="D70" s="121" t="s">
        <v>21</v>
      </c>
      <c r="E70" s="120" t="s">
        <v>13</v>
      </c>
      <c r="F70" s="122">
        <v>56.9</v>
      </c>
      <c r="G70" s="187">
        <v>130</v>
      </c>
      <c r="H70" s="122">
        <f>2.44+2.38</f>
        <v>4.82</v>
      </c>
      <c r="I70" s="122">
        <f t="shared" si="114"/>
        <v>56.937076923076923</v>
      </c>
      <c r="J70" s="244">
        <f t="shared" si="115"/>
        <v>7401.82</v>
      </c>
      <c r="K70" s="122" cm="1">
        <f t="array" ref="K70">_FV(C70,"Price")</f>
        <v>43.67</v>
      </c>
      <c r="L70" s="122">
        <f t="shared" si="116"/>
        <v>8.1800000000000495</v>
      </c>
      <c r="M70" s="126">
        <f t="shared" si="117"/>
        <v>1.1051336022762036E-3</v>
      </c>
      <c r="N70" s="123">
        <v>57</v>
      </c>
      <c r="O70" s="223">
        <v>44564</v>
      </c>
      <c r="P70" s="223">
        <v>44564</v>
      </c>
      <c r="Q70" s="237">
        <f>Table29[[#This Row],[Close Date]]-Table29[[#This Row],[Open Date]]</f>
        <v>0</v>
      </c>
      <c r="R70" s="178"/>
      <c r="T70" s="54"/>
      <c r="U70" s="135"/>
    </row>
    <row r="71" spans="2:21" x14ac:dyDescent="0.25">
      <c r="B71" s="220">
        <v>55</v>
      </c>
      <c r="C71" s="121" t="e" vm="70">
        <v>#VALUE!</v>
      </c>
      <c r="D71" s="121" t="s">
        <v>21</v>
      </c>
      <c r="E71" s="120" t="s">
        <v>13</v>
      </c>
      <c r="F71" s="122">
        <v>42.3</v>
      </c>
      <c r="G71" s="187">
        <v>300</v>
      </c>
      <c r="H71" s="122">
        <f>3.87+3.97</f>
        <v>7.84</v>
      </c>
      <c r="I71" s="122">
        <f t="shared" ref="I71:I72" si="118">((F71*G71)+H71)/G71</f>
        <v>42.326133333333331</v>
      </c>
      <c r="J71" s="244">
        <f t="shared" ref="J71:J72" si="119">I71*G71</f>
        <v>12697.84</v>
      </c>
      <c r="K71" s="122" cm="1">
        <f t="array" ref="K71">_FV(C71,"Price")</f>
        <v>33.799999999999997</v>
      </c>
      <c r="L71" s="122">
        <f t="shared" ref="L71:L72" si="120">(N71-I71)*G71</f>
        <v>4.1600000000016735</v>
      </c>
      <c r="M71" s="126">
        <f t="shared" ref="M71:M72" si="121">L71/J71</f>
        <v>3.276147754265035E-4</v>
      </c>
      <c r="N71" s="123">
        <v>42.34</v>
      </c>
      <c r="O71" s="223">
        <v>44564</v>
      </c>
      <c r="P71" s="223">
        <v>44564</v>
      </c>
      <c r="Q71" s="237">
        <f>Table29[[#This Row],[Close Date]]-Table29[[#This Row],[Open Date]]</f>
        <v>0</v>
      </c>
      <c r="R71" s="178"/>
      <c r="T71" s="54"/>
      <c r="U71" s="135"/>
    </row>
    <row r="72" spans="2:21" x14ac:dyDescent="0.25">
      <c r="B72" s="221">
        <v>56</v>
      </c>
      <c r="C72" s="69" t="e" vm="18">
        <v>#VALUE!</v>
      </c>
      <c r="D72" s="69" t="s">
        <v>21</v>
      </c>
      <c r="E72" s="116" t="s">
        <v>13</v>
      </c>
      <c r="F72" s="173">
        <v>5.2</v>
      </c>
      <c r="G72" s="188">
        <v>200</v>
      </c>
      <c r="H72" s="173">
        <f>2.59+2.62</f>
        <v>5.21</v>
      </c>
      <c r="I72" s="173">
        <f t="shared" si="118"/>
        <v>5.2260499999999999</v>
      </c>
      <c r="J72" s="245">
        <f t="shared" si="119"/>
        <v>1045.21</v>
      </c>
      <c r="K72" s="173" cm="1">
        <f t="array" ref="K72">_FV(C72,"Price")</f>
        <v>6</v>
      </c>
      <c r="L72" s="533">
        <f t="shared" si="120"/>
        <v>-21.209999999999951</v>
      </c>
      <c r="M72" s="117">
        <f t="shared" si="121"/>
        <v>-2.0292572784416481E-2</v>
      </c>
      <c r="N72" s="173">
        <v>5.12</v>
      </c>
      <c r="O72" s="224">
        <v>44565</v>
      </c>
      <c r="P72" s="224">
        <v>44565</v>
      </c>
      <c r="Q72" s="238">
        <f>Table29[[#This Row],[Close Date]]-Table29[[#This Row],[Open Date]]</f>
        <v>0</v>
      </c>
      <c r="R72" s="430"/>
    </row>
    <row r="73" spans="2:21" x14ac:dyDescent="0.25">
      <c r="B73" s="220">
        <v>57</v>
      </c>
      <c r="C73" s="121" t="e" vm="70">
        <v>#VALUE!</v>
      </c>
      <c r="D73" s="121" t="s">
        <v>21</v>
      </c>
      <c r="E73" s="120" t="s">
        <v>13</v>
      </c>
      <c r="F73" s="122">
        <f>(38.5*30+38.4*20)/50</f>
        <v>38.46</v>
      </c>
      <c r="G73" s="187">
        <v>50</v>
      </c>
      <c r="H73" s="122">
        <f>2.08+2.05+2.16</f>
        <v>6.29</v>
      </c>
      <c r="I73" s="122">
        <f t="shared" ref="I73" si="122">((F73*G73)+H73)/G73</f>
        <v>38.585799999999999</v>
      </c>
      <c r="J73" s="244">
        <f t="shared" ref="J73" si="123">I73*G73</f>
        <v>1929.29</v>
      </c>
      <c r="K73" s="122" cm="1">
        <f t="array" ref="K73">_FV(C73,"Price")</f>
        <v>33.799999999999997</v>
      </c>
      <c r="L73" s="122">
        <f t="shared" ref="L73" si="124">(N73-I73)*G73</f>
        <v>5.7100000000001927</v>
      </c>
      <c r="M73" s="126">
        <f t="shared" ref="M73" si="125">L73/J73</f>
        <v>2.9596380015447098E-3</v>
      </c>
      <c r="N73" s="123">
        <v>38.700000000000003</v>
      </c>
      <c r="O73" s="223">
        <v>44565</v>
      </c>
      <c r="P73" s="223">
        <v>44565</v>
      </c>
      <c r="Q73" s="237">
        <f>Table29[[#This Row],[Close Date]]-Table29[[#This Row],[Open Date]]</f>
        <v>0</v>
      </c>
      <c r="R73" s="178"/>
      <c r="T73" s="54"/>
      <c r="U73" s="135"/>
    </row>
    <row r="74" spans="2:21" x14ac:dyDescent="0.25">
      <c r="B74" s="221">
        <v>58</v>
      </c>
      <c r="C74" s="69" t="e" vm="70">
        <v>#VALUE!</v>
      </c>
      <c r="D74" s="69" t="s">
        <v>21</v>
      </c>
      <c r="E74" s="116" t="s">
        <v>13</v>
      </c>
      <c r="F74" s="173">
        <v>39.799999999999997</v>
      </c>
      <c r="G74" s="188">
        <v>100</v>
      </c>
      <c r="H74" s="173">
        <f>2.29</f>
        <v>2.29</v>
      </c>
      <c r="I74" s="173">
        <f t="shared" ref="I74:I75" si="126">((F74*G74)+H74)/G74</f>
        <v>39.822899999999997</v>
      </c>
      <c r="J74" s="245">
        <f t="shared" ref="J74:J75" si="127">I74*G74</f>
        <v>3982.2899999999995</v>
      </c>
      <c r="K74" s="173" cm="1">
        <f t="array" ref="K74">_FV(C74,"Price")</f>
        <v>33.799999999999997</v>
      </c>
      <c r="L74" s="533">
        <f t="shared" ref="L74:L75" si="128">(N74-I74)*G74</f>
        <v>-22.289999999999566</v>
      </c>
      <c r="M74" s="117">
        <f t="shared" ref="M74:M75" si="129">L74/J74</f>
        <v>-5.5972819659039314E-3</v>
      </c>
      <c r="N74" s="173">
        <v>39.6</v>
      </c>
      <c r="O74" s="224">
        <v>44565</v>
      </c>
      <c r="P74" s="224">
        <v>44567</v>
      </c>
      <c r="Q74" s="238">
        <f>Table29[[#This Row],[Close Date]]-Table29[[#This Row],[Open Date]]</f>
        <v>2</v>
      </c>
      <c r="R74" s="430"/>
    </row>
    <row r="75" spans="2:21" x14ac:dyDescent="0.25">
      <c r="B75" s="220">
        <v>59</v>
      </c>
      <c r="C75" s="121" t="e" vm="50">
        <v>#VALUE!</v>
      </c>
      <c r="D75" s="121" t="s">
        <v>21</v>
      </c>
      <c r="E75" s="120" t="s">
        <v>13</v>
      </c>
      <c r="F75" s="122">
        <f>(51.8*50+50.2*50)/100</f>
        <v>51</v>
      </c>
      <c r="G75" s="187">
        <v>100</v>
      </c>
      <c r="H75" s="122">
        <f>2.14+2.14+2.33</f>
        <v>6.61</v>
      </c>
      <c r="I75" s="122">
        <f t="shared" si="126"/>
        <v>51.066099999999999</v>
      </c>
      <c r="J75" s="244">
        <f t="shared" si="127"/>
        <v>5106.6099999999997</v>
      </c>
      <c r="K75" s="122" cm="1">
        <f t="array" ref="K75">_FV(C75,"Price")</f>
        <v>43.67</v>
      </c>
      <c r="L75" s="122">
        <f t="shared" si="128"/>
        <v>35.390000000000299</v>
      </c>
      <c r="M75" s="126">
        <f t="shared" si="129"/>
        <v>6.9302335600330356E-3</v>
      </c>
      <c r="N75" s="123">
        <v>51.42</v>
      </c>
      <c r="O75" s="223">
        <v>44565</v>
      </c>
      <c r="P75" s="223">
        <v>44566</v>
      </c>
      <c r="Q75" s="237">
        <f>Table29[[#This Row],[Close Date]]-Table29[[#This Row],[Open Date]]</f>
        <v>1</v>
      </c>
      <c r="R75" s="178"/>
      <c r="T75" s="54"/>
      <c r="U75" s="135"/>
    </row>
    <row r="76" spans="2:21" x14ac:dyDescent="0.25">
      <c r="B76" s="221">
        <v>60</v>
      </c>
      <c r="C76" s="69" t="e" vm="40">
        <v>#VALUE!</v>
      </c>
      <c r="D76" s="69" t="s">
        <v>21</v>
      </c>
      <c r="E76" s="116" t="s">
        <v>13</v>
      </c>
      <c r="F76" s="173">
        <v>64.989999999999995</v>
      </c>
      <c r="G76" s="188">
        <v>112</v>
      </c>
      <c r="H76" s="173">
        <f>2.33+2.38</f>
        <v>4.71</v>
      </c>
      <c r="I76" s="173">
        <f t="shared" ref="I76" si="130">((F76*G76)+H76)/G76</f>
        <v>65.032053571428563</v>
      </c>
      <c r="J76" s="245">
        <f t="shared" ref="J76" si="131">I76*G76</f>
        <v>7283.5899999999992</v>
      </c>
      <c r="K76" s="173" cm="1">
        <f t="array" ref="K76">_FV(C76,"Price")</f>
        <v>59.77</v>
      </c>
      <c r="L76" s="533">
        <f t="shared" ref="L76" si="132">(N76-I76)*G76</f>
        <v>-93.18999999999869</v>
      </c>
      <c r="M76" s="117">
        <f t="shared" ref="M76" si="133">L76/J76</f>
        <v>-1.2794514792842363E-2</v>
      </c>
      <c r="N76" s="173">
        <v>64.2</v>
      </c>
      <c r="O76" s="224">
        <v>44566</v>
      </c>
      <c r="P76" s="224">
        <v>44566</v>
      </c>
      <c r="Q76" s="238">
        <f>Table29[[#This Row],[Close Date]]-Table29[[#This Row],[Open Date]]</f>
        <v>0</v>
      </c>
      <c r="R76" s="430"/>
    </row>
    <row r="77" spans="2:21" x14ac:dyDescent="0.25">
      <c r="B77" s="220">
        <v>61</v>
      </c>
      <c r="C77" s="121" t="e" vm="40">
        <v>#VALUE!</v>
      </c>
      <c r="D77" s="121" t="s">
        <v>21</v>
      </c>
      <c r="E77" s="120" t="s">
        <v>13</v>
      </c>
      <c r="F77" s="122">
        <v>64.599999999999994</v>
      </c>
      <c r="G77" s="187">
        <v>108</v>
      </c>
      <c r="H77" s="122">
        <f>2.36+2.31</f>
        <v>4.67</v>
      </c>
      <c r="I77" s="122">
        <f t="shared" ref="I77" si="134">((F77*G77)+H77)/G77</f>
        <v>64.643240740740737</v>
      </c>
      <c r="J77" s="244">
        <f t="shared" ref="J77" si="135">I77*G77</f>
        <v>6981.4699999999993</v>
      </c>
      <c r="K77" s="122" cm="1">
        <f t="array" ref="K77">_FV(C77,"Price")</f>
        <v>59.77</v>
      </c>
      <c r="L77" s="122">
        <f t="shared" ref="L77" si="136">(N77-I77)*G77</f>
        <v>11.530000000000427</v>
      </c>
      <c r="M77" s="126">
        <f t="shared" ref="M77" si="137">L77/J77</f>
        <v>1.6515146523583756E-3</v>
      </c>
      <c r="N77" s="123">
        <v>64.75</v>
      </c>
      <c r="O77" s="223">
        <v>44566</v>
      </c>
      <c r="P77" s="223">
        <v>44566</v>
      </c>
      <c r="Q77" s="237">
        <f>Table29[[#This Row],[Close Date]]-Table29[[#This Row],[Open Date]]</f>
        <v>0</v>
      </c>
      <c r="R77" s="178"/>
      <c r="T77" s="54"/>
      <c r="U77" s="135"/>
    </row>
    <row r="78" spans="2:21" x14ac:dyDescent="0.25">
      <c r="B78" s="220">
        <v>62</v>
      </c>
      <c r="C78" s="121" t="e" vm="40">
        <v>#VALUE!</v>
      </c>
      <c r="D78" s="121" t="s">
        <v>21</v>
      </c>
      <c r="E78" s="120" t="s">
        <v>13</v>
      </c>
      <c r="F78" s="122">
        <v>64.5</v>
      </c>
      <c r="G78" s="187">
        <v>84</v>
      </c>
      <c r="H78" s="122">
        <f>2.24+2.28</f>
        <v>4.5199999999999996</v>
      </c>
      <c r="I78" s="122">
        <f t="shared" ref="I78:I79" si="138">((F78*G78)+H78)/G78</f>
        <v>64.553809523809534</v>
      </c>
      <c r="J78" s="244">
        <f t="shared" ref="J78:J79" si="139">I78*G78</f>
        <v>5422.52</v>
      </c>
      <c r="K78" s="122" cm="1">
        <f t="array" ref="K78">_FV(C78,"Price")</f>
        <v>59.77</v>
      </c>
      <c r="L78" s="122">
        <f t="shared" ref="L78:L79" si="140">(N78-I78)*G78</f>
        <v>20.679999999998927</v>
      </c>
      <c r="M78" s="126">
        <f t="shared" ref="M78:M79" si="141">L78/J78</f>
        <v>3.8137249839556011E-3</v>
      </c>
      <c r="N78" s="123">
        <v>64.8</v>
      </c>
      <c r="O78" s="223">
        <v>44566</v>
      </c>
      <c r="P78" s="223">
        <v>44566</v>
      </c>
      <c r="Q78" s="237">
        <f>Table29[[#This Row],[Close Date]]-Table29[[#This Row],[Open Date]]</f>
        <v>0</v>
      </c>
      <c r="R78" s="178"/>
      <c r="T78" s="54"/>
      <c r="U78" s="135"/>
    </row>
    <row r="79" spans="2:21" x14ac:dyDescent="0.25">
      <c r="B79" s="220">
        <v>63</v>
      </c>
      <c r="C79" s="121" t="e" vm="70">
        <v>#VALUE!</v>
      </c>
      <c r="D79" s="121" t="s">
        <v>21</v>
      </c>
      <c r="E79" s="120" t="s">
        <v>13</v>
      </c>
      <c r="F79" s="122">
        <v>37.799999999999997</v>
      </c>
      <c r="G79" s="187">
        <v>50</v>
      </c>
      <c r="H79" s="122">
        <f>2.14+2.16</f>
        <v>4.3000000000000007</v>
      </c>
      <c r="I79" s="122">
        <f t="shared" si="138"/>
        <v>37.885999999999996</v>
      </c>
      <c r="J79" s="244">
        <f t="shared" si="139"/>
        <v>1894.2999999999997</v>
      </c>
      <c r="K79" s="122" cm="1">
        <f t="array" ref="K79">_FV(C79,"Price")</f>
        <v>33.799999999999997</v>
      </c>
      <c r="L79" s="122">
        <f t="shared" si="140"/>
        <v>5.700000000000216</v>
      </c>
      <c r="M79" s="126">
        <f t="shared" si="141"/>
        <v>3.0090270812438455E-3</v>
      </c>
      <c r="N79" s="123">
        <v>38</v>
      </c>
      <c r="O79" s="223">
        <v>44566</v>
      </c>
      <c r="P79" s="223">
        <v>44566</v>
      </c>
      <c r="Q79" s="237">
        <f>Table29[[#This Row],[Close Date]]-Table29[[#This Row],[Open Date]]</f>
        <v>0</v>
      </c>
      <c r="R79" s="178"/>
      <c r="T79" s="54"/>
      <c r="U79" s="135"/>
    </row>
    <row r="80" spans="2:21" x14ac:dyDescent="0.25">
      <c r="B80" s="220">
        <v>64</v>
      </c>
      <c r="C80" s="121" t="e" vm="40">
        <v>#VALUE!</v>
      </c>
      <c r="D80" s="121" t="s">
        <v>21</v>
      </c>
      <c r="E80" s="120" t="s">
        <v>13</v>
      </c>
      <c r="F80" s="122">
        <v>65.099999999999994</v>
      </c>
      <c r="G80" s="187">
        <v>108</v>
      </c>
      <c r="H80" s="122">
        <f>2.31+2.36</f>
        <v>4.67</v>
      </c>
      <c r="I80" s="122">
        <f t="shared" ref="I80:I81" si="142">((F80*G80)+H80)/G80</f>
        <v>65.143240740740737</v>
      </c>
      <c r="J80" s="244">
        <f t="shared" ref="J80:J81" si="143">I80*G80</f>
        <v>7035.4699999999993</v>
      </c>
      <c r="K80" s="122" cm="1">
        <f t="array" ref="K80">_FV(C80,"Price")</f>
        <v>59.77</v>
      </c>
      <c r="L80" s="122">
        <f t="shared" ref="L80:L81" si="144">(N80-I80)*G80</f>
        <v>18.010000000000673</v>
      </c>
      <c r="M80" s="126">
        <f t="shared" ref="M80:M81" si="145">L80/J80</f>
        <v>2.559885835630125E-3</v>
      </c>
      <c r="N80" s="123">
        <v>65.31</v>
      </c>
      <c r="O80" s="223">
        <v>44566</v>
      </c>
      <c r="P80" s="223">
        <v>44566</v>
      </c>
      <c r="Q80" s="237">
        <f>Table29[[#This Row],[Close Date]]-Table29[[#This Row],[Open Date]]</f>
        <v>0</v>
      </c>
      <c r="R80" s="178"/>
      <c r="T80" s="54"/>
      <c r="U80" s="135"/>
    </row>
    <row r="81" spans="2:21" x14ac:dyDescent="0.25">
      <c r="B81" s="221">
        <v>65</v>
      </c>
      <c r="C81" s="69" t="e" vm="38">
        <v>#VALUE!</v>
      </c>
      <c r="D81" s="69" t="s">
        <v>21</v>
      </c>
      <c r="E81" s="116" t="s">
        <v>13</v>
      </c>
      <c r="F81" s="173">
        <v>211.42</v>
      </c>
      <c r="G81" s="188">
        <v>5</v>
      </c>
      <c r="H81" s="173">
        <f>2.01+2.03</f>
        <v>4.0399999999999991</v>
      </c>
      <c r="I81" s="173">
        <f t="shared" si="142"/>
        <v>212.22799999999998</v>
      </c>
      <c r="J81" s="245">
        <f t="shared" si="143"/>
        <v>1061.1399999999999</v>
      </c>
      <c r="K81" s="173" cm="1">
        <f t="array" ref="K81">_FV(C81,"Price")</f>
        <v>147.44999999999999</v>
      </c>
      <c r="L81" s="533">
        <f t="shared" si="144"/>
        <v>-302.64</v>
      </c>
      <c r="M81" s="117">
        <f t="shared" si="145"/>
        <v>-0.2852027065231732</v>
      </c>
      <c r="N81" s="173">
        <v>151.69999999999999</v>
      </c>
      <c r="O81" s="224">
        <v>44315</v>
      </c>
      <c r="P81" s="224">
        <v>44567</v>
      </c>
      <c r="Q81" s="238">
        <f>Table29[[#This Row],[Close Date]]-Table29[[#This Row],[Open Date]]</f>
        <v>252</v>
      </c>
      <c r="R81" s="430"/>
    </row>
    <row r="82" spans="2:21" x14ac:dyDescent="0.25">
      <c r="B82" s="220">
        <v>66</v>
      </c>
      <c r="C82" s="121" t="e" vm="29">
        <v>#VALUE!</v>
      </c>
      <c r="D82" s="121" t="s">
        <v>21</v>
      </c>
      <c r="E82" s="120" t="s">
        <v>13</v>
      </c>
      <c r="F82" s="122">
        <v>29.9</v>
      </c>
      <c r="G82" s="187">
        <v>200</v>
      </c>
      <c r="H82" s="122">
        <f>2.59+2.64</f>
        <v>5.23</v>
      </c>
      <c r="I82" s="122">
        <f t="shared" ref="I82" si="146">((F82*G82)+H82)/G82</f>
        <v>29.926149999999996</v>
      </c>
      <c r="J82" s="244">
        <f t="shared" ref="J82" si="147">I82*G82</f>
        <v>5985.23</v>
      </c>
      <c r="K82" s="122" cm="1">
        <f t="array" ref="K82">_FV(C82,"Price")</f>
        <v>21.21</v>
      </c>
      <c r="L82" s="122">
        <f t="shared" ref="L82" si="148">(N82-I82)*G82</f>
        <v>14.770000000000749</v>
      </c>
      <c r="M82" s="126">
        <f t="shared" ref="M82" si="149">L82/J82</f>
        <v>2.4677414234709027E-3</v>
      </c>
      <c r="N82" s="123">
        <v>30</v>
      </c>
      <c r="O82" s="223">
        <v>44567</v>
      </c>
      <c r="P82" s="223">
        <v>44567</v>
      </c>
      <c r="Q82" s="237">
        <f>Table29[[#This Row],[Close Date]]-Table29[[#This Row],[Open Date]]</f>
        <v>0</v>
      </c>
      <c r="R82" s="178"/>
      <c r="T82" s="54"/>
      <c r="U82" s="135"/>
    </row>
    <row r="83" spans="2:21" x14ac:dyDescent="0.25">
      <c r="B83" s="220">
        <v>67</v>
      </c>
      <c r="C83" s="121" t="e" vm="29">
        <v>#VALUE!</v>
      </c>
      <c r="D83" s="121" t="s">
        <v>21</v>
      </c>
      <c r="E83" s="120" t="s">
        <v>13</v>
      </c>
      <c r="F83" s="122">
        <v>29.8</v>
      </c>
      <c r="G83" s="187">
        <v>24</v>
      </c>
      <c r="H83" s="122">
        <f>2.08+2.06</f>
        <v>4.1400000000000006</v>
      </c>
      <c r="I83" s="122">
        <f t="shared" ref="I83" si="150">((F83*G83)+H83)/G83</f>
        <v>29.9725</v>
      </c>
      <c r="J83" s="244">
        <f t="shared" ref="J83" si="151">I83*G83</f>
        <v>719.34</v>
      </c>
      <c r="K83" s="122" cm="1">
        <f t="array" ref="K83">_FV(C83,"Price")</f>
        <v>21.21</v>
      </c>
      <c r="L83" s="122">
        <f t="shared" ref="L83" si="152">(N83-I83)*G83</f>
        <v>2.8199999999999932</v>
      </c>
      <c r="M83" s="126">
        <f t="shared" ref="M83" si="153">L83/J83</f>
        <v>3.9202602385519959E-3</v>
      </c>
      <c r="N83" s="123">
        <v>30.09</v>
      </c>
      <c r="O83" s="223">
        <v>44567</v>
      </c>
      <c r="P83" s="223">
        <v>44567</v>
      </c>
      <c r="Q83" s="237">
        <f>Table29[[#This Row],[Close Date]]-Table29[[#This Row],[Open Date]]</f>
        <v>0</v>
      </c>
      <c r="R83" s="178"/>
      <c r="T83" s="54"/>
      <c r="U83" s="135"/>
    </row>
    <row r="84" spans="2:21" x14ac:dyDescent="0.25">
      <c r="B84" s="220">
        <v>68</v>
      </c>
      <c r="C84" s="121" t="e" vm="29">
        <v>#VALUE!</v>
      </c>
      <c r="D84" s="121" t="s">
        <v>21</v>
      </c>
      <c r="E84" s="120" t="s">
        <v>13</v>
      </c>
      <c r="F84" s="122">
        <v>29.895</v>
      </c>
      <c r="G84" s="187">
        <v>200</v>
      </c>
      <c r="H84" s="122">
        <f>2.64+2.59</f>
        <v>5.23</v>
      </c>
      <c r="I84" s="122">
        <f t="shared" ref="I84" si="154">((F84*G84)+H84)/G84</f>
        <v>29.921149999999997</v>
      </c>
      <c r="J84" s="244">
        <f t="shared" ref="J84" si="155">I84*G84</f>
        <v>5984.23</v>
      </c>
      <c r="K84" s="122" cm="1">
        <f t="array" ref="K84">_FV(C84,"Price")</f>
        <v>21.21</v>
      </c>
      <c r="L84" s="122">
        <f t="shared" ref="L84" si="156">(N84-I84)*G84</f>
        <v>15.77000000000055</v>
      </c>
      <c r="M84" s="126">
        <f t="shared" ref="M84" si="157">L84/J84</f>
        <v>2.6352596741770541E-3</v>
      </c>
      <c r="N84" s="123">
        <v>30</v>
      </c>
      <c r="O84" s="223">
        <v>44567</v>
      </c>
      <c r="P84" s="223">
        <v>44567</v>
      </c>
      <c r="Q84" s="237">
        <f>Table29[[#This Row],[Close Date]]-Table29[[#This Row],[Open Date]]</f>
        <v>0</v>
      </c>
      <c r="R84" s="178"/>
      <c r="T84" s="54"/>
      <c r="U84" s="135"/>
    </row>
    <row r="85" spans="2:21" x14ac:dyDescent="0.25">
      <c r="B85" s="220">
        <v>69</v>
      </c>
      <c r="C85" s="121" t="e" vm="71">
        <v>#VALUE!</v>
      </c>
      <c r="D85" s="121" t="s">
        <v>21</v>
      </c>
      <c r="E85" s="120" t="s">
        <v>13</v>
      </c>
      <c r="F85" s="122">
        <v>276.89</v>
      </c>
      <c r="G85" s="187">
        <v>30</v>
      </c>
      <c r="H85" s="122">
        <f>2.08+2.13</f>
        <v>4.21</v>
      </c>
      <c r="I85" s="122">
        <f t="shared" ref="I85" si="158">((F85*G85)+H85)/G85</f>
        <v>277.03033333333326</v>
      </c>
      <c r="J85" s="244">
        <f t="shared" ref="J85" si="159">I85*G85</f>
        <v>8310.909999999998</v>
      </c>
      <c r="K85" s="122" cm="1">
        <f t="array" ref="K85">_FV(C85,"Price")</f>
        <v>282.19</v>
      </c>
      <c r="L85" s="122">
        <f t="shared" ref="L85" si="160">(N85-I85)*G85</f>
        <v>15.89000000000226</v>
      </c>
      <c r="M85" s="126">
        <f t="shared" ref="M85" si="161">L85/J85</f>
        <v>1.9119446606932651E-3</v>
      </c>
      <c r="N85" s="123">
        <v>277.56</v>
      </c>
      <c r="O85" s="223">
        <v>44567</v>
      </c>
      <c r="P85" s="223">
        <v>44567</v>
      </c>
      <c r="Q85" s="237">
        <f>Table29[[#This Row],[Close Date]]-Table29[[#This Row],[Open Date]]</f>
        <v>0</v>
      </c>
      <c r="R85" s="178"/>
      <c r="T85" s="54"/>
      <c r="U85" s="135"/>
    </row>
    <row r="86" spans="2:21" x14ac:dyDescent="0.25">
      <c r="B86" s="220">
        <v>70</v>
      </c>
      <c r="C86" s="121" t="e" vm="70">
        <v>#VALUE!</v>
      </c>
      <c r="D86" s="121" t="s">
        <v>21</v>
      </c>
      <c r="E86" s="120" t="s">
        <v>13</v>
      </c>
      <c r="F86" s="122">
        <v>37.5</v>
      </c>
      <c r="G86" s="187">
        <v>50</v>
      </c>
      <c r="H86" s="122">
        <f>2.14+2.16</f>
        <v>4.3000000000000007</v>
      </c>
      <c r="I86" s="122">
        <f t="shared" ref="I86" si="162">((F86*G86)+H86)/G86</f>
        <v>37.585999999999999</v>
      </c>
      <c r="J86" s="244">
        <f t="shared" ref="J86" si="163">I86*G86</f>
        <v>1879.3</v>
      </c>
      <c r="K86" s="122" cm="1">
        <f t="array" ref="K86">_FV(C86,"Price")</f>
        <v>33.799999999999997</v>
      </c>
      <c r="L86" s="122">
        <f t="shared" ref="L86" si="164">(N86-I86)*G86</f>
        <v>0.70000000000014495</v>
      </c>
      <c r="M86" s="126">
        <f t="shared" ref="M86" si="165">L86/J86</f>
        <v>3.7247911456401051E-4</v>
      </c>
      <c r="N86" s="123">
        <v>37.6</v>
      </c>
      <c r="O86" s="223">
        <v>44567</v>
      </c>
      <c r="P86" s="223">
        <v>44567</v>
      </c>
      <c r="Q86" s="237">
        <f>Table29[[#This Row],[Close Date]]-Table29[[#This Row],[Open Date]]</f>
        <v>0</v>
      </c>
      <c r="R86" s="178"/>
      <c r="T86" s="54"/>
      <c r="U86" s="135"/>
    </row>
    <row r="87" spans="2:21" x14ac:dyDescent="0.25">
      <c r="B87" s="221">
        <v>71</v>
      </c>
      <c r="C87" s="69" t="e" vm="40">
        <v>#VALUE!</v>
      </c>
      <c r="D87" s="69" t="s">
        <v>21</v>
      </c>
      <c r="E87" s="116" t="s">
        <v>13</v>
      </c>
      <c r="F87" s="173">
        <v>66.7</v>
      </c>
      <c r="G87" s="188">
        <v>100</v>
      </c>
      <c r="H87" s="173">
        <f>2.32+2.16</f>
        <v>4.4800000000000004</v>
      </c>
      <c r="I87" s="173">
        <f t="shared" ref="I87" si="166">((F87*G87)+H87)/G87</f>
        <v>66.744799999999998</v>
      </c>
      <c r="J87" s="245">
        <f t="shared" ref="J87" si="167">I87*G87</f>
        <v>6674.48</v>
      </c>
      <c r="K87" s="173" cm="1">
        <f t="array" ref="K87">_FV(C87,"Price")</f>
        <v>59.77</v>
      </c>
      <c r="L87" s="533">
        <f t="shared" ref="L87" si="168">(N87-I87)*G87</f>
        <v>-124.47999999999979</v>
      </c>
      <c r="M87" s="117">
        <f t="shared" ref="M87" si="169">L87/J87</f>
        <v>-1.8650142033536665E-2</v>
      </c>
      <c r="N87" s="173">
        <v>65.5</v>
      </c>
      <c r="O87" s="224">
        <v>44567</v>
      </c>
      <c r="P87" s="224">
        <v>44567</v>
      </c>
      <c r="Q87" s="238">
        <f>Table29[[#This Row],[Close Date]]-Table29[[#This Row],[Open Date]]</f>
        <v>0</v>
      </c>
      <c r="R87" s="178"/>
      <c r="T87" s="54"/>
      <c r="U87" s="135"/>
    </row>
    <row r="88" spans="2:21" x14ac:dyDescent="0.25">
      <c r="B88" s="220">
        <v>72</v>
      </c>
      <c r="C88" s="121" t="e" vm="40">
        <v>#VALUE!</v>
      </c>
      <c r="D88" s="121" t="s">
        <v>21</v>
      </c>
      <c r="E88" s="120" t="s">
        <v>13</v>
      </c>
      <c r="F88" s="122">
        <v>67.2</v>
      </c>
      <c r="G88" s="187">
        <v>161</v>
      </c>
      <c r="H88" s="122">
        <f>2.47+2.17+2.05+2.33</f>
        <v>9.02</v>
      </c>
      <c r="I88" s="122">
        <f t="shared" ref="I88" si="170">((F88*G88)+H88)/G88</f>
        <v>67.2560248447205</v>
      </c>
      <c r="J88" s="244">
        <f t="shared" ref="J88" si="171">I88*G88</f>
        <v>10828.220000000001</v>
      </c>
      <c r="K88" s="122" cm="1">
        <f t="array" ref="K88">_FV(C88,"Price")</f>
        <v>59.77</v>
      </c>
      <c r="L88" s="122">
        <f t="shared" ref="L88" si="172">(N88-I88)*G88</f>
        <v>25.179999999998699</v>
      </c>
      <c r="M88" s="126">
        <f t="shared" ref="M88" si="173">L88/J88</f>
        <v>2.3254052836014318E-3</v>
      </c>
      <c r="N88" s="123">
        <f>(67.2*100+67.6*12+67.8*49)/161</f>
        <v>67.412422360248442</v>
      </c>
      <c r="O88" s="223">
        <v>44567</v>
      </c>
      <c r="P88" s="223">
        <v>44567</v>
      </c>
      <c r="Q88" s="237">
        <f>Table29[[#This Row],[Close Date]]-Table29[[#This Row],[Open Date]]</f>
        <v>0</v>
      </c>
      <c r="R88" s="178"/>
      <c r="T88" s="54"/>
      <c r="U88" s="135"/>
    </row>
    <row r="89" spans="2:21" x14ac:dyDescent="0.25">
      <c r="B89" s="221">
        <v>73</v>
      </c>
      <c r="C89" s="69" t="e" vm="72">
        <v>#VALUE!</v>
      </c>
      <c r="D89" s="69" t="s">
        <v>21</v>
      </c>
      <c r="E89" s="116" t="s">
        <v>13</v>
      </c>
      <c r="F89" s="173">
        <v>47</v>
      </c>
      <c r="G89" s="188">
        <v>15</v>
      </c>
      <c r="H89" s="173">
        <f>2.04+2.06</f>
        <v>4.0999999999999996</v>
      </c>
      <c r="I89" s="173">
        <f t="shared" ref="I89" si="174">((F89*G89)+H89)/G89</f>
        <v>47.273333333333333</v>
      </c>
      <c r="J89" s="245">
        <f t="shared" ref="J89" si="175">I89*G89</f>
        <v>709.1</v>
      </c>
      <c r="K89" s="173" cm="1">
        <f t="array" ref="K89">_FV(C89,"Price")</f>
        <v>26.45</v>
      </c>
      <c r="L89" s="533">
        <f t="shared" ref="L89" si="176">(N89-I89)*G89</f>
        <v>-220.40000000000003</v>
      </c>
      <c r="M89" s="117">
        <f t="shared" ref="M89" si="177">L89/J89</f>
        <v>-0.3108165279932309</v>
      </c>
      <c r="N89" s="173">
        <v>32.58</v>
      </c>
      <c r="O89" s="224">
        <v>44496</v>
      </c>
      <c r="P89" s="224">
        <v>44568</v>
      </c>
      <c r="Q89" s="238">
        <f>Table29[[#This Row],[Close Date]]-Table29[[#This Row],[Open Date]]</f>
        <v>72</v>
      </c>
      <c r="R89" s="178"/>
      <c r="T89" s="54"/>
      <c r="U89" s="135"/>
    </row>
    <row r="90" spans="2:21" x14ac:dyDescent="0.25">
      <c r="B90" s="221">
        <v>74</v>
      </c>
      <c r="C90" s="69" t="e" vm="54">
        <v>#VALUE!</v>
      </c>
      <c r="D90" s="69" t="s">
        <v>21</v>
      </c>
      <c r="E90" s="116" t="s">
        <v>13</v>
      </c>
      <c r="F90" s="173">
        <v>243</v>
      </c>
      <c r="G90" s="188">
        <v>4</v>
      </c>
      <c r="H90" s="173">
        <f>2+2.02</f>
        <v>4.0199999999999996</v>
      </c>
      <c r="I90" s="173">
        <f t="shared" ref="I90" si="178">((F90*G90)+H90)/G90</f>
        <v>244.005</v>
      </c>
      <c r="J90" s="245">
        <f t="shared" ref="J90" si="179">I90*G90</f>
        <v>976.02</v>
      </c>
      <c r="K90" s="173" cm="1">
        <f t="array" ref="K90">_FV(C90,"Price")</f>
        <v>116.17</v>
      </c>
      <c r="L90" s="533">
        <f t="shared" ref="L90" si="180">(N90-I90)*G90</f>
        <v>-212.51999999999998</v>
      </c>
      <c r="M90" s="117">
        <f t="shared" ref="M90" si="181">L90/J90</f>
        <v>-0.21774143972459578</v>
      </c>
      <c r="N90" s="173">
        <v>190.875</v>
      </c>
      <c r="O90" s="224">
        <v>44490</v>
      </c>
      <c r="P90" s="224">
        <v>44568</v>
      </c>
      <c r="Q90" s="238">
        <f>Table29[[#This Row],[Close Date]]-Table29[[#This Row],[Open Date]]</f>
        <v>78</v>
      </c>
      <c r="R90" s="178"/>
      <c r="T90" s="54"/>
      <c r="U90" s="135"/>
    </row>
    <row r="91" spans="2:21" x14ac:dyDescent="0.25">
      <c r="B91" s="221">
        <v>75</v>
      </c>
      <c r="C91" s="69" t="e" vm="27">
        <v>#VALUE!</v>
      </c>
      <c r="D91" s="69" t="s">
        <v>21</v>
      </c>
      <c r="E91" s="116" t="s">
        <v>13</v>
      </c>
      <c r="F91" s="173">
        <v>64.099999999999994</v>
      </c>
      <c r="G91" s="188">
        <v>16</v>
      </c>
      <c r="H91" s="173">
        <f>2.04+2.06</f>
        <v>4.0999999999999996</v>
      </c>
      <c r="I91" s="173">
        <f t="shared" ref="I91" si="182">((F91*G91)+H91)/G91</f>
        <v>64.356249999999989</v>
      </c>
      <c r="J91" s="245">
        <f t="shared" ref="J91" si="183">I91*G91</f>
        <v>1029.6999999999998</v>
      </c>
      <c r="K91" s="173" cm="1">
        <f t="array" ref="K91">_FV(C91,"Price")</f>
        <v>80.010000000000005</v>
      </c>
      <c r="L91" s="533">
        <f t="shared" ref="L91" si="184">(N91-I91)*G91</f>
        <v>-1.6999999999998181</v>
      </c>
      <c r="M91" s="117">
        <f t="shared" ref="M91" si="185">L91/J91</f>
        <v>-1.6509663008641531E-3</v>
      </c>
      <c r="N91" s="173">
        <v>64.25</v>
      </c>
      <c r="O91" s="224">
        <v>44568</v>
      </c>
      <c r="P91" s="224">
        <v>44568</v>
      </c>
      <c r="Q91" s="238">
        <f>Table29[[#This Row],[Close Date]]-Table29[[#This Row],[Open Date]]</f>
        <v>0</v>
      </c>
      <c r="R91" s="178"/>
      <c r="T91" s="54"/>
      <c r="U91" s="135"/>
    </row>
    <row r="92" spans="2:21" x14ac:dyDescent="0.25">
      <c r="B92" s="220">
        <v>76</v>
      </c>
      <c r="C92" s="121" t="e" vm="28">
        <v>#VALUE!</v>
      </c>
      <c r="D92" s="121" t="s">
        <v>21</v>
      </c>
      <c r="E92" s="120" t="s">
        <v>13</v>
      </c>
      <c r="F92" s="122">
        <v>282</v>
      </c>
      <c r="G92" s="187">
        <v>40</v>
      </c>
      <c r="H92" s="122">
        <f>2.18+2.11</f>
        <v>4.29</v>
      </c>
      <c r="I92" s="122">
        <f t="shared" ref="I92" si="186">((F92*G92)+H92)/G92</f>
        <v>282.10725000000002</v>
      </c>
      <c r="J92" s="244">
        <f t="shared" ref="J92" si="187">I92*G92</f>
        <v>11284.29</v>
      </c>
      <c r="K92" s="122" cm="1">
        <f t="array" ref="K92">_FV(C92,"Price")</f>
        <v>282.19</v>
      </c>
      <c r="L92" s="122">
        <f t="shared" ref="L92" si="188">(N92-I92)*G92</f>
        <v>35.709999999999127</v>
      </c>
      <c r="M92" s="126">
        <f t="shared" ref="M92" si="189">L92/J92</f>
        <v>3.1645765927673895E-3</v>
      </c>
      <c r="N92" s="123">
        <v>283</v>
      </c>
      <c r="O92" s="223">
        <v>44568</v>
      </c>
      <c r="P92" s="223">
        <v>44568</v>
      </c>
      <c r="Q92" s="237">
        <f>Table29[[#This Row],[Close Date]]-Table29[[#This Row],[Open Date]]</f>
        <v>0</v>
      </c>
      <c r="R92" s="178"/>
      <c r="T92" s="54"/>
      <c r="U92" s="135"/>
    </row>
    <row r="93" spans="2:21" x14ac:dyDescent="0.25">
      <c r="B93" s="220">
        <v>77</v>
      </c>
      <c r="C93" s="121" t="e" vm="73">
        <v>#VALUE!</v>
      </c>
      <c r="D93" s="121" t="s">
        <v>21</v>
      </c>
      <c r="E93" s="120" t="s">
        <v>13</v>
      </c>
      <c r="F93" s="122">
        <v>201.8</v>
      </c>
      <c r="G93" s="187">
        <v>73</v>
      </c>
      <c r="H93" s="122">
        <f>2.21+2.3</f>
        <v>4.51</v>
      </c>
      <c r="I93" s="122">
        <f t="shared" ref="I93" si="190">((F93*G93)+H93)/G93</f>
        <v>201.86178082191782</v>
      </c>
      <c r="J93" s="244">
        <f t="shared" ref="J93" si="191">I93*G93</f>
        <v>14735.91</v>
      </c>
      <c r="K93" s="122" cm="1">
        <f t="array" ref="K93">_FV(C93,"Price")</f>
        <v>194.92</v>
      </c>
      <c r="L93" s="122">
        <f t="shared" ref="L93" si="192">(N93-I93)*G93</f>
        <v>52.430000000000149</v>
      </c>
      <c r="M93" s="126">
        <f t="shared" ref="M93" si="193">L93/J93</f>
        <v>3.5579750419214118E-3</v>
      </c>
      <c r="N93" s="123">
        <v>202.58</v>
      </c>
      <c r="O93" s="223">
        <v>44568</v>
      </c>
      <c r="P93" s="223">
        <v>44568</v>
      </c>
      <c r="Q93" s="237">
        <f>Table29[[#This Row],[Close Date]]-Table29[[#This Row],[Open Date]]</f>
        <v>0</v>
      </c>
      <c r="R93" s="178"/>
      <c r="T93" s="54"/>
      <c r="U93" s="135"/>
    </row>
    <row r="94" spans="2:21" x14ac:dyDescent="0.25">
      <c r="B94" s="221">
        <v>78</v>
      </c>
      <c r="C94" s="69" t="e" vm="50">
        <v>#VALUE!</v>
      </c>
      <c r="D94" s="69" t="s">
        <v>21</v>
      </c>
      <c r="E94" s="116" t="s">
        <v>13</v>
      </c>
      <c r="F94" s="173">
        <v>53.895000000000003</v>
      </c>
      <c r="G94" s="188">
        <v>200</v>
      </c>
      <c r="H94" s="173">
        <f>2.59+2.66</f>
        <v>5.25</v>
      </c>
      <c r="I94" s="173">
        <f t="shared" ref="I94" si="194">((F94*G94)+H94)/G94</f>
        <v>53.921250000000001</v>
      </c>
      <c r="J94" s="245">
        <f t="shared" ref="J94" si="195">I94*G94</f>
        <v>10784.25</v>
      </c>
      <c r="K94" s="173" cm="1">
        <f t="array" ref="K94">_FV(C94,"Price")</f>
        <v>43.67</v>
      </c>
      <c r="L94" s="533">
        <f t="shared" ref="L94" si="196">(N94-I94)*G94</f>
        <v>-184.25000000000011</v>
      </c>
      <c r="M94" s="117">
        <f t="shared" ref="M94" si="197">L94/J94</f>
        <v>-1.7085100957414757E-2</v>
      </c>
      <c r="N94" s="173">
        <v>53</v>
      </c>
      <c r="O94" s="224">
        <v>44568</v>
      </c>
      <c r="P94" s="224">
        <v>44568</v>
      </c>
      <c r="Q94" s="238">
        <f>Table29[[#This Row],[Close Date]]-Table29[[#This Row],[Open Date]]</f>
        <v>0</v>
      </c>
      <c r="R94" s="178"/>
      <c r="T94" s="54"/>
      <c r="U94" s="135"/>
    </row>
    <row r="95" spans="2:21" x14ac:dyDescent="0.25">
      <c r="B95" s="220">
        <v>79</v>
      </c>
      <c r="C95" s="121" t="e" vm="73">
        <v>#VALUE!</v>
      </c>
      <c r="D95" s="121" t="s">
        <v>21</v>
      </c>
      <c r="E95" s="120" t="s">
        <v>13</v>
      </c>
      <c r="F95" s="122">
        <v>200.78</v>
      </c>
      <c r="G95" s="187">
        <v>72</v>
      </c>
      <c r="H95" s="122">
        <f>2.21+2.29</f>
        <v>4.5</v>
      </c>
      <c r="I95" s="122">
        <f t="shared" ref="I95" si="198">((F95*G95)+H95)/G95</f>
        <v>200.8425</v>
      </c>
      <c r="J95" s="244">
        <f t="shared" ref="J95" si="199">I95*G95</f>
        <v>14460.66</v>
      </c>
      <c r="K95" s="122" cm="1">
        <f t="array" ref="K95">_FV(C95,"Price")</f>
        <v>194.92</v>
      </c>
      <c r="L95" s="122">
        <f t="shared" ref="L95" si="200">(N95-I95)*G95</f>
        <v>8.8200000000001637</v>
      </c>
      <c r="M95" s="126">
        <f t="shared" ref="M95" si="201">L95/J95</f>
        <v>6.0993066706500009E-4</v>
      </c>
      <c r="N95" s="123">
        <v>200.965</v>
      </c>
      <c r="O95" s="223">
        <v>44568</v>
      </c>
      <c r="P95" s="223">
        <v>44568</v>
      </c>
      <c r="Q95" s="237">
        <f>Table29[[#This Row],[Close Date]]-Table29[[#This Row],[Open Date]]</f>
        <v>0</v>
      </c>
      <c r="R95" s="178"/>
      <c r="T95" s="54"/>
      <c r="U95" s="135"/>
    </row>
    <row r="96" spans="2:21" x14ac:dyDescent="0.25">
      <c r="B96" s="220">
        <v>80</v>
      </c>
      <c r="C96" s="121" t="e" vm="50">
        <v>#VALUE!</v>
      </c>
      <c r="D96" s="121" t="s">
        <v>21</v>
      </c>
      <c r="E96" s="120" t="s">
        <v>13</v>
      </c>
      <c r="F96" s="122">
        <v>56.2</v>
      </c>
      <c r="G96" s="187">
        <v>214</v>
      </c>
      <c r="H96" s="122">
        <f>2.85+2.21</f>
        <v>5.0600000000000005</v>
      </c>
      <c r="I96" s="122">
        <f t="shared" ref="I96" si="202">((F96*G96)+H96)/G96</f>
        <v>56.223644859813085</v>
      </c>
      <c r="J96" s="244">
        <f t="shared" ref="J96" si="203">I96*G96</f>
        <v>12031.86</v>
      </c>
      <c r="K96" s="122" cm="1">
        <f t="array" ref="K96">_FV(C96,"Price")</f>
        <v>43.67</v>
      </c>
      <c r="L96" s="122">
        <f t="shared" ref="L96" si="204">(N96-I96)*G96</f>
        <v>16.339999999999222</v>
      </c>
      <c r="M96" s="126">
        <f t="shared" ref="M96" si="205">L96/J96</f>
        <v>1.3580610146726459E-3</v>
      </c>
      <c r="N96" s="123">
        <v>56.3</v>
      </c>
      <c r="O96" s="223">
        <v>44568</v>
      </c>
      <c r="P96" s="223">
        <v>44568</v>
      </c>
      <c r="Q96" s="237">
        <f>Table29[[#This Row],[Close Date]]-Table29[[#This Row],[Open Date]]</f>
        <v>0</v>
      </c>
      <c r="R96" s="178"/>
      <c r="T96" s="54"/>
      <c r="U96" s="135"/>
    </row>
    <row r="97" spans="2:21" x14ac:dyDescent="0.25">
      <c r="B97" s="220">
        <v>81</v>
      </c>
      <c r="C97" s="121" t="e" vm="14">
        <v>#VALUE!</v>
      </c>
      <c r="D97" s="121" t="s">
        <v>21</v>
      </c>
      <c r="E97" s="120" t="s">
        <v>13</v>
      </c>
      <c r="F97" s="122">
        <v>132.80000000000001</v>
      </c>
      <c r="G97" s="187">
        <v>90</v>
      </c>
      <c r="H97" s="122">
        <f>2.26+2.33</f>
        <v>4.59</v>
      </c>
      <c r="I97" s="122">
        <f t="shared" ref="I97:I98" si="206">((F97*G97)+H97)/G97</f>
        <v>132.85100000000003</v>
      </c>
      <c r="J97" s="244">
        <f t="shared" ref="J97:J98" si="207">I97*G97</f>
        <v>11956.590000000002</v>
      </c>
      <c r="K97" s="122" cm="1">
        <f t="array" ref="K97">_FV(C97,"Price")</f>
        <v>115.09</v>
      </c>
      <c r="L97" s="122">
        <f t="shared" ref="L97:L98" si="208">(N97-I97)*G97</f>
        <v>13.409999999997524</v>
      </c>
      <c r="M97" s="126">
        <f t="shared" ref="M97:M98" si="209">L97/J97</f>
        <v>1.1215572332912245E-3</v>
      </c>
      <c r="N97" s="123">
        <v>133</v>
      </c>
      <c r="O97" s="223">
        <v>44568</v>
      </c>
      <c r="P97" s="223">
        <v>44568</v>
      </c>
      <c r="Q97" s="237">
        <f>Table29[[#This Row],[Close Date]]-Table29[[#This Row],[Open Date]]</f>
        <v>0</v>
      </c>
      <c r="R97" s="178"/>
      <c r="T97" s="54"/>
      <c r="U97" s="135"/>
    </row>
    <row r="98" spans="2:21" x14ac:dyDescent="0.25">
      <c r="B98" s="221">
        <v>82</v>
      </c>
      <c r="C98" s="69" t="e" vm="50">
        <v>#VALUE!</v>
      </c>
      <c r="D98" s="69" t="s">
        <v>21</v>
      </c>
      <c r="E98" s="116" t="s">
        <v>13</v>
      </c>
      <c r="F98" s="173">
        <v>56</v>
      </c>
      <c r="G98" s="188">
        <v>215</v>
      </c>
      <c r="H98" s="173">
        <f>2.87+2.78</f>
        <v>5.65</v>
      </c>
      <c r="I98" s="173">
        <f t="shared" si="206"/>
        <v>56.02627906976744</v>
      </c>
      <c r="J98" s="245">
        <f t="shared" si="207"/>
        <v>12045.65</v>
      </c>
      <c r="K98" s="173" cm="1">
        <f t="array" ref="K98">_FV(C98,"Price")</f>
        <v>43.67</v>
      </c>
      <c r="L98" s="533">
        <f t="shared" si="208"/>
        <v>-48.650000000000304</v>
      </c>
      <c r="M98" s="117">
        <f t="shared" si="209"/>
        <v>-4.038802389244275E-3</v>
      </c>
      <c r="N98" s="173">
        <v>55.8</v>
      </c>
      <c r="O98" s="224">
        <v>44568</v>
      </c>
      <c r="P98" s="224">
        <v>44568</v>
      </c>
      <c r="Q98" s="238">
        <f>Table29[[#This Row],[Close Date]]-Table29[[#This Row],[Open Date]]</f>
        <v>0</v>
      </c>
      <c r="R98" s="178"/>
      <c r="T98" s="54"/>
      <c r="U98" s="135"/>
    </row>
    <row r="99" spans="2:21" x14ac:dyDescent="0.25">
      <c r="B99" s="221">
        <v>83</v>
      </c>
      <c r="C99" s="69" t="e" vm="24">
        <v>#VALUE!</v>
      </c>
      <c r="D99" s="69" t="s">
        <v>21</v>
      </c>
      <c r="E99" s="116" t="s">
        <v>13</v>
      </c>
      <c r="F99" s="173">
        <v>99.73</v>
      </c>
      <c r="G99" s="188">
        <v>122</v>
      </c>
      <c r="H99" s="173">
        <f>2.36+2.43</f>
        <v>4.79</v>
      </c>
      <c r="I99" s="173">
        <f t="shared" ref="I99" si="210">((F99*G99)+H99)/G99</f>
        <v>99.769262295081987</v>
      </c>
      <c r="J99" s="245">
        <f t="shared" ref="J99" si="211">I99*G99</f>
        <v>12171.850000000002</v>
      </c>
      <c r="K99" s="173" cm="1">
        <f t="array" ref="K99">_FV(C99,"Price")</f>
        <v>93.82</v>
      </c>
      <c r="L99" s="533">
        <f t="shared" ref="L99" si="212">(N99-I99)*G99</f>
        <v>-102.39000000000155</v>
      </c>
      <c r="M99" s="117">
        <f t="shared" ref="M99" si="213">L99/J99</f>
        <v>-8.4120326819671232E-3</v>
      </c>
      <c r="N99" s="173">
        <v>98.93</v>
      </c>
      <c r="O99" s="224">
        <v>44568</v>
      </c>
      <c r="P99" s="224">
        <v>44568</v>
      </c>
      <c r="Q99" s="238">
        <f>Table29[[#This Row],[Close Date]]-Table29[[#This Row],[Open Date]]</f>
        <v>0</v>
      </c>
      <c r="R99" s="178"/>
      <c r="T99" s="54"/>
      <c r="U99" s="135"/>
    </row>
    <row r="100" spans="2:21" x14ac:dyDescent="0.25">
      <c r="B100" s="221">
        <v>84</v>
      </c>
      <c r="C100" s="69" t="e" vm="50">
        <v>#VALUE!</v>
      </c>
      <c r="D100" s="69" t="s">
        <v>21</v>
      </c>
      <c r="E100" s="116" t="s">
        <v>13</v>
      </c>
      <c r="F100" s="173">
        <v>57.35</v>
      </c>
      <c r="G100" s="188">
        <v>211</v>
      </c>
      <c r="H100" s="173">
        <f>2.81</f>
        <v>2.81</v>
      </c>
      <c r="I100" s="173">
        <f t="shared" ref="I100:I101" si="214">((F100*G100)+H100)/G100</f>
        <v>57.363317535545022</v>
      </c>
      <c r="J100" s="245">
        <f t="shared" ref="J100:J101" si="215">I100*G100</f>
        <v>12103.66</v>
      </c>
      <c r="K100" s="173" cm="1">
        <f t="array" ref="K100">_FV(C100,"Price")</f>
        <v>43.67</v>
      </c>
      <c r="L100" s="533">
        <f t="shared" ref="L100:L101" si="216">(N100-I100)*G100</f>
        <v>-224.36000000000024</v>
      </c>
      <c r="M100" s="117">
        <f t="shared" ref="M100:M101" si="217">L100/J100</f>
        <v>-1.8536541839410579E-2</v>
      </c>
      <c r="N100" s="173">
        <v>56.3</v>
      </c>
      <c r="O100" s="224">
        <v>44568</v>
      </c>
      <c r="P100" s="224">
        <v>44571</v>
      </c>
      <c r="Q100" s="238">
        <f>Table29[[#This Row],[Close Date]]-Table29[[#This Row],[Open Date]]</f>
        <v>3</v>
      </c>
      <c r="R100" s="178"/>
      <c r="T100" s="54"/>
      <c r="U100" s="135"/>
    </row>
    <row r="101" spans="2:21" x14ac:dyDescent="0.25">
      <c r="B101" s="221">
        <v>85</v>
      </c>
      <c r="C101" s="69" t="e" vm="2">
        <v>#VALUE!</v>
      </c>
      <c r="D101" s="69" t="s">
        <v>21</v>
      </c>
      <c r="E101" s="116" t="s">
        <v>13</v>
      </c>
      <c r="F101" s="173">
        <v>130.80000000000001</v>
      </c>
      <c r="G101" s="188">
        <v>105</v>
      </c>
      <c r="H101" s="173">
        <f>2.39+2.31</f>
        <v>4.7</v>
      </c>
      <c r="I101" s="173">
        <f t="shared" si="214"/>
        <v>130.84476190476192</v>
      </c>
      <c r="J101" s="245">
        <f t="shared" si="215"/>
        <v>13738.700000000003</v>
      </c>
      <c r="K101" s="173" cm="1">
        <f t="array" ref="K101">_FV(C101,"Price")</f>
        <v>120.24</v>
      </c>
      <c r="L101" s="533">
        <f t="shared" si="216"/>
        <v>-57.200000000000841</v>
      </c>
      <c r="M101" s="117">
        <f t="shared" si="217"/>
        <v>-4.1634215755494211E-3</v>
      </c>
      <c r="N101" s="173">
        <v>130.30000000000001</v>
      </c>
      <c r="O101" s="224">
        <v>44571</v>
      </c>
      <c r="P101" s="224">
        <v>44571</v>
      </c>
      <c r="Q101" s="238">
        <f>Table29[[#This Row],[Close Date]]-Table29[[#This Row],[Open Date]]</f>
        <v>0</v>
      </c>
      <c r="R101" s="178"/>
      <c r="T101" s="54"/>
      <c r="U101" s="135"/>
    </row>
    <row r="102" spans="2:21" x14ac:dyDescent="0.25">
      <c r="B102" s="220">
        <v>86</v>
      </c>
      <c r="C102" s="121" t="e" vm="24">
        <v>#VALUE!</v>
      </c>
      <c r="D102" s="121" t="s">
        <v>21</v>
      </c>
      <c r="E102" s="120" t="s">
        <v>13</v>
      </c>
      <c r="F102" s="122">
        <v>100.36</v>
      </c>
      <c r="G102" s="187">
        <v>112</v>
      </c>
      <c r="H102" s="122">
        <f>2.33+2.4</f>
        <v>4.7300000000000004</v>
      </c>
      <c r="I102" s="122">
        <f t="shared" ref="I102" si="218">((F102*G102)+H102)/G102</f>
        <v>100.40223214285713</v>
      </c>
      <c r="J102" s="244">
        <f t="shared" ref="J102" si="219">I102*G102</f>
        <v>11245.05</v>
      </c>
      <c r="K102" s="122" cm="1">
        <f t="array" ref="K102">_FV(C102,"Price")</f>
        <v>93.82</v>
      </c>
      <c r="L102" s="122">
        <f t="shared" ref="L102" si="220">(N102-I102)*G102</f>
        <v>89.350000000001728</v>
      </c>
      <c r="M102" s="126">
        <f t="shared" ref="M102" si="221">L102/J102</f>
        <v>7.9457183382912241E-3</v>
      </c>
      <c r="N102" s="123">
        <v>101.2</v>
      </c>
      <c r="O102" s="223">
        <v>44571</v>
      </c>
      <c r="P102" s="223">
        <v>44571</v>
      </c>
      <c r="Q102" s="237">
        <f>Table29[[#This Row],[Close Date]]-Table29[[#This Row],[Open Date]]</f>
        <v>0</v>
      </c>
      <c r="R102" s="178"/>
      <c r="T102" s="54"/>
      <c r="U102" s="135"/>
    </row>
    <row r="103" spans="2:21" x14ac:dyDescent="0.25">
      <c r="B103" s="220">
        <v>87</v>
      </c>
      <c r="C103" s="121" t="e" vm="40">
        <v>#VALUE!</v>
      </c>
      <c r="D103" s="121" t="s">
        <v>21</v>
      </c>
      <c r="E103" s="120" t="s">
        <v>13</v>
      </c>
      <c r="F103" s="122">
        <v>69.5</v>
      </c>
      <c r="G103" s="187">
        <v>166</v>
      </c>
      <c r="H103" s="122">
        <f>2.49+2.57</f>
        <v>5.0600000000000005</v>
      </c>
      <c r="I103" s="122">
        <f t="shared" ref="I103" si="222">((F103*G103)+H103)/G103</f>
        <v>69.530481927710838</v>
      </c>
      <c r="J103" s="244">
        <f t="shared" ref="J103" si="223">I103*G103</f>
        <v>11542.06</v>
      </c>
      <c r="K103" s="122" cm="1">
        <f t="array" ref="K103">_FV(C103,"Price")</f>
        <v>59.77</v>
      </c>
      <c r="L103" s="122">
        <f t="shared" ref="L103" si="224">(N103-I103)*G103</f>
        <v>160.94000000000091</v>
      </c>
      <c r="M103" s="126">
        <f t="shared" ref="M103" si="225">L103/J103</f>
        <v>1.394378473166843E-2</v>
      </c>
      <c r="N103" s="123">
        <v>70.5</v>
      </c>
      <c r="O103" s="223">
        <v>44571</v>
      </c>
      <c r="P103" s="223">
        <v>44571</v>
      </c>
      <c r="Q103" s="237">
        <f>Table29[[#This Row],[Close Date]]-Table29[[#This Row],[Open Date]]</f>
        <v>0</v>
      </c>
      <c r="R103" s="178"/>
      <c r="T103" s="54"/>
      <c r="U103" s="135"/>
    </row>
    <row r="104" spans="2:21" x14ac:dyDescent="0.25">
      <c r="B104" s="220">
        <v>88</v>
      </c>
      <c r="C104" s="121" t="e" vm="24">
        <v>#VALUE!</v>
      </c>
      <c r="D104" s="121" t="s">
        <v>21</v>
      </c>
      <c r="E104" s="120" t="s">
        <v>13</v>
      </c>
      <c r="F104" s="122">
        <v>99</v>
      </c>
      <c r="G104" s="187">
        <v>121</v>
      </c>
      <c r="H104" s="122">
        <f>2.35+2.42</f>
        <v>4.7699999999999996</v>
      </c>
      <c r="I104" s="122">
        <f t="shared" ref="I104" si="226">((F104*G104)+H104)/G104</f>
        <v>99.039421487603306</v>
      </c>
      <c r="J104" s="244">
        <f t="shared" ref="J104" si="227">I104*G104</f>
        <v>11983.77</v>
      </c>
      <c r="K104" s="122" cm="1">
        <f t="array" ref="K104">_FV(C104,"Price")</f>
        <v>93.82</v>
      </c>
      <c r="L104" s="122">
        <f t="shared" ref="L104" si="228">(N104-I104)*G104</f>
        <v>7.3299999999992735</v>
      </c>
      <c r="M104" s="126">
        <f t="shared" ref="M104" si="229">L104/J104</f>
        <v>6.1166060430058937E-4</v>
      </c>
      <c r="N104" s="123">
        <v>99.1</v>
      </c>
      <c r="O104" s="223">
        <v>44571</v>
      </c>
      <c r="P104" s="223">
        <v>44571</v>
      </c>
      <c r="Q104" s="237">
        <f>Table29[[#This Row],[Close Date]]-Table29[[#This Row],[Open Date]]</f>
        <v>0</v>
      </c>
      <c r="R104" s="178"/>
      <c r="T104" s="54"/>
      <c r="U104" s="135"/>
    </row>
    <row r="105" spans="2:21" x14ac:dyDescent="0.25">
      <c r="B105" s="221">
        <v>89</v>
      </c>
      <c r="C105" s="69" t="e" vm="50">
        <v>#VALUE!</v>
      </c>
      <c r="D105" s="69" t="s">
        <v>21</v>
      </c>
      <c r="E105" s="116" t="s">
        <v>13</v>
      </c>
      <c r="F105" s="173">
        <v>56.39</v>
      </c>
      <c r="G105" s="188">
        <v>215</v>
      </c>
      <c r="H105" s="173">
        <f>2.78+2.87</f>
        <v>5.65</v>
      </c>
      <c r="I105" s="173">
        <f t="shared" ref="I105" si="230">((F105*G105)+H105)/G105</f>
        <v>56.416279069767441</v>
      </c>
      <c r="J105" s="245">
        <f t="shared" ref="J105" si="231">I105*G105</f>
        <v>12129.5</v>
      </c>
      <c r="K105" s="173" cm="1">
        <f t="array" ref="K105">_FV(C105,"Price")</f>
        <v>43.67</v>
      </c>
      <c r="L105" s="533">
        <f t="shared" ref="L105" si="232">(N105-I105)*G105</f>
        <v>-132.50000000000043</v>
      </c>
      <c r="M105" s="117">
        <f t="shared" ref="M105" si="233">L105/J105</f>
        <v>-1.0923780864833706E-2</v>
      </c>
      <c r="N105" s="173">
        <v>55.8</v>
      </c>
      <c r="O105" s="224">
        <v>44571</v>
      </c>
      <c r="P105" s="224">
        <v>44571</v>
      </c>
      <c r="Q105" s="238">
        <f>Table29[[#This Row],[Close Date]]-Table29[[#This Row],[Open Date]]</f>
        <v>0</v>
      </c>
      <c r="R105" s="178"/>
      <c r="T105" s="54"/>
      <c r="U105" s="397"/>
    </row>
    <row r="106" spans="2:21" x14ac:dyDescent="0.25">
      <c r="B106" s="220">
        <v>90</v>
      </c>
      <c r="C106" s="121" t="e" vm="50">
        <v>#VALUE!</v>
      </c>
      <c r="D106" s="121" t="s">
        <v>21</v>
      </c>
      <c r="E106" s="120" t="s">
        <v>13</v>
      </c>
      <c r="F106" s="122">
        <v>56.3</v>
      </c>
      <c r="G106" s="187">
        <v>208</v>
      </c>
      <c r="H106" s="122">
        <f>2.76+2.68</f>
        <v>5.4399999999999995</v>
      </c>
      <c r="I106" s="122">
        <f t="shared" ref="I106" si="234">((F106*G106)+H106)/G106</f>
        <v>56.326153846153844</v>
      </c>
      <c r="J106" s="244">
        <f t="shared" ref="J106" si="235">I106*G106</f>
        <v>11715.84</v>
      </c>
      <c r="K106" s="122" cm="1">
        <f t="array" ref="K106">_FV(C106,"Price")</f>
        <v>43.67</v>
      </c>
      <c r="L106" s="122">
        <f t="shared" ref="L106" si="236">(N106-I106)*G106</f>
        <v>45.520000000000891</v>
      </c>
      <c r="M106" s="126">
        <f t="shared" ref="M106" si="237">L106/J106</f>
        <v>3.8853381405004584E-3</v>
      </c>
      <c r="N106" s="123">
        <v>56.545000000000002</v>
      </c>
      <c r="O106" s="223">
        <v>44571</v>
      </c>
      <c r="P106" s="223">
        <v>44571</v>
      </c>
      <c r="Q106" s="237">
        <f>Table29[[#This Row],[Close Date]]-Table29[[#This Row],[Open Date]]</f>
        <v>0</v>
      </c>
      <c r="R106" s="178"/>
      <c r="T106" s="54"/>
      <c r="U106" s="135"/>
    </row>
    <row r="107" spans="2:21" x14ac:dyDescent="0.25">
      <c r="B107" s="220">
        <v>91</v>
      </c>
      <c r="C107" s="121" t="e" vm="40">
        <v>#VALUE!</v>
      </c>
      <c r="D107" s="121" t="s">
        <v>21</v>
      </c>
      <c r="E107" s="120" t="s">
        <v>13</v>
      </c>
      <c r="F107" s="122">
        <v>69.5</v>
      </c>
      <c r="G107" s="187">
        <v>169</v>
      </c>
      <c r="H107" s="122">
        <f>2.5+2.58</f>
        <v>5.08</v>
      </c>
      <c r="I107" s="122">
        <f t="shared" ref="I107" si="238">((F107*G107)+H107)/G107</f>
        <v>69.530059171597628</v>
      </c>
      <c r="J107" s="244">
        <f t="shared" ref="J107" si="239">I107*G107</f>
        <v>11750.58</v>
      </c>
      <c r="K107" s="122" cm="1">
        <f t="array" ref="K107">_FV(C107,"Price")</f>
        <v>59.77</v>
      </c>
      <c r="L107" s="122">
        <f t="shared" ref="L107" si="240">(N107-I107)*G107</f>
        <v>11.819999999999879</v>
      </c>
      <c r="M107" s="126">
        <f t="shared" ref="M107" si="241">L107/J107</f>
        <v>1.0059077934876303E-3</v>
      </c>
      <c r="N107" s="123">
        <v>69.599999999999994</v>
      </c>
      <c r="O107" s="223">
        <v>44571</v>
      </c>
      <c r="P107" s="223">
        <v>44571</v>
      </c>
      <c r="Q107" s="237">
        <f>Table29[[#This Row],[Close Date]]-Table29[[#This Row],[Open Date]]</f>
        <v>0</v>
      </c>
      <c r="R107" s="178"/>
      <c r="T107" s="54"/>
      <c r="U107" s="135"/>
    </row>
    <row r="108" spans="2:21" x14ac:dyDescent="0.25">
      <c r="B108" s="220">
        <v>92</v>
      </c>
      <c r="C108" s="121" t="e" vm="70">
        <v>#VALUE!</v>
      </c>
      <c r="D108" s="121" t="s">
        <v>21</v>
      </c>
      <c r="E108" s="120" t="s">
        <v>13</v>
      </c>
      <c r="F108" s="122">
        <v>39.945</v>
      </c>
      <c r="G108" s="187">
        <v>354</v>
      </c>
      <c r="H108" s="122">
        <f>4.67+4.56</f>
        <v>9.23</v>
      </c>
      <c r="I108" s="122">
        <f t="shared" ref="I108" si="242">((F108*G108)+H108)/G108</f>
        <v>39.971073446327686</v>
      </c>
      <c r="J108" s="244">
        <f t="shared" ref="J108" si="243">I108*G108</f>
        <v>14149.76</v>
      </c>
      <c r="K108" s="122" cm="1">
        <f t="array" ref="K108">_FV(C108,"Price")</f>
        <v>33.799999999999997</v>
      </c>
      <c r="L108" s="122">
        <f t="shared" ref="L108" si="244">(N108-I108)*G108</f>
        <v>10.239999999999</v>
      </c>
      <c r="M108" s="126">
        <f t="shared" ref="M108" si="245">L108/J108</f>
        <v>7.2368718621368844E-4</v>
      </c>
      <c r="N108" s="123">
        <v>40</v>
      </c>
      <c r="O108" s="223">
        <v>44571</v>
      </c>
      <c r="P108" s="223">
        <v>44571</v>
      </c>
      <c r="Q108" s="237">
        <f>Table29[[#This Row],[Close Date]]-Table29[[#This Row],[Open Date]]</f>
        <v>0</v>
      </c>
      <c r="R108" s="178"/>
      <c r="T108" s="54"/>
      <c r="U108" s="135"/>
    </row>
    <row r="109" spans="2:21" x14ac:dyDescent="0.25">
      <c r="B109" s="220">
        <v>93</v>
      </c>
      <c r="C109" s="121" t="e" vm="41">
        <v>#VALUE!</v>
      </c>
      <c r="D109" s="121" t="s">
        <v>21</v>
      </c>
      <c r="E109" s="120" t="s">
        <v>13</v>
      </c>
      <c r="F109" s="122">
        <v>40.380000000000003</v>
      </c>
      <c r="G109" s="187">
        <v>290</v>
      </c>
      <c r="H109" s="122">
        <f>3.74+3.83</f>
        <v>7.57</v>
      </c>
      <c r="I109" s="122">
        <f t="shared" ref="I109" si="246">((F109*G109)+H109)/G109</f>
        <v>40.406103448275864</v>
      </c>
      <c r="J109" s="244">
        <f t="shared" ref="J109" si="247">I109*G109</f>
        <v>11717.77</v>
      </c>
      <c r="K109" s="122" cm="1">
        <f t="array" ref="K109">_FV(C109,"Price")</f>
        <v>28.54</v>
      </c>
      <c r="L109" s="122">
        <f t="shared" ref="L109" si="248">(N109-I109)*G109</f>
        <v>56.229999999999762</v>
      </c>
      <c r="M109" s="126">
        <f t="shared" ref="M109" si="249">L109/J109</f>
        <v>4.7986946321697524E-3</v>
      </c>
      <c r="N109" s="123">
        <v>40.6</v>
      </c>
      <c r="O109" s="223">
        <v>44571</v>
      </c>
      <c r="P109" s="223">
        <v>44571</v>
      </c>
      <c r="Q109" s="237">
        <f>Table29[[#This Row],[Close Date]]-Table29[[#This Row],[Open Date]]</f>
        <v>0</v>
      </c>
      <c r="R109" s="178"/>
      <c r="T109" s="54"/>
      <c r="U109" s="135"/>
    </row>
    <row r="110" spans="2:21" x14ac:dyDescent="0.25">
      <c r="B110" s="220">
        <v>94</v>
      </c>
      <c r="C110" s="121" t="e" vm="41">
        <v>#VALUE!</v>
      </c>
      <c r="D110" s="121" t="s">
        <v>21</v>
      </c>
      <c r="E110" s="120" t="s">
        <v>13</v>
      </c>
      <c r="F110" s="122">
        <v>40.590000000000003</v>
      </c>
      <c r="G110" s="187">
        <v>290</v>
      </c>
      <c r="H110" s="122">
        <f>3.74+3.83</f>
        <v>7.57</v>
      </c>
      <c r="I110" s="122">
        <f t="shared" ref="I110" si="250">((F110*G110)+H110)/G110</f>
        <v>40.616103448275865</v>
      </c>
      <c r="J110" s="244">
        <f t="shared" ref="J110" si="251">I110*G110</f>
        <v>11778.67</v>
      </c>
      <c r="K110" s="122" cm="1">
        <f t="array" ref="K110">_FV(C110,"Price")</f>
        <v>28.54</v>
      </c>
      <c r="L110" s="122">
        <f t="shared" ref="L110" si="252">(N110-I110)*G110</f>
        <v>24.329999999999927</v>
      </c>
      <c r="M110" s="126">
        <f t="shared" ref="M110" si="253">L110/J110</f>
        <v>2.0655982381711964E-3</v>
      </c>
      <c r="N110" s="123">
        <v>40.700000000000003</v>
      </c>
      <c r="O110" s="223">
        <v>44571</v>
      </c>
      <c r="P110" s="223">
        <v>44571</v>
      </c>
      <c r="Q110" s="237">
        <f>Table29[[#This Row],[Close Date]]-Table29[[#This Row],[Open Date]]</f>
        <v>0</v>
      </c>
      <c r="R110" s="178"/>
      <c r="T110" s="54"/>
      <c r="U110" s="135"/>
    </row>
    <row r="111" spans="2:21" x14ac:dyDescent="0.25">
      <c r="B111" s="220">
        <v>95</v>
      </c>
      <c r="C111" s="121" t="e" vm="41">
        <v>#VALUE!</v>
      </c>
      <c r="D111" s="121" t="s">
        <v>21</v>
      </c>
      <c r="E111" s="120" t="s">
        <v>13</v>
      </c>
      <c r="F111" s="122">
        <v>40.4</v>
      </c>
      <c r="G111" s="187">
        <v>293</v>
      </c>
      <c r="H111" s="122">
        <f>3.79+3.88</f>
        <v>7.67</v>
      </c>
      <c r="I111" s="122">
        <f t="shared" ref="I111" si="254">((F111*G111)+H111)/G111</f>
        <v>40.426177474402728</v>
      </c>
      <c r="J111" s="244">
        <f t="shared" ref="J111" si="255">I111*G111</f>
        <v>11844.869999999999</v>
      </c>
      <c r="K111" s="122" cm="1">
        <f t="array" ref="K111">_FV(C111,"Price")</f>
        <v>28.54</v>
      </c>
      <c r="L111" s="122">
        <f t="shared" ref="L111" si="256">(N111-I111)*G111</f>
        <v>21.630000000000756</v>
      </c>
      <c r="M111" s="126">
        <f t="shared" ref="M111" si="257">L111/J111</f>
        <v>1.8261069982195464E-3</v>
      </c>
      <c r="N111" s="123">
        <v>40.5</v>
      </c>
      <c r="O111" s="223">
        <v>44571</v>
      </c>
      <c r="P111" s="223">
        <v>44571</v>
      </c>
      <c r="Q111" s="237">
        <f>Table29[[#This Row],[Close Date]]-Table29[[#This Row],[Open Date]]</f>
        <v>0</v>
      </c>
      <c r="R111" s="178"/>
      <c r="T111" s="54"/>
      <c r="U111" s="135"/>
    </row>
    <row r="112" spans="2:21" x14ac:dyDescent="0.25">
      <c r="B112" s="221">
        <v>96</v>
      </c>
      <c r="C112" s="69" t="e" vm="73">
        <v>#VALUE!</v>
      </c>
      <c r="D112" s="69" t="s">
        <v>21</v>
      </c>
      <c r="E112" s="116" t="s">
        <v>13</v>
      </c>
      <c r="F112" s="173">
        <v>188.79</v>
      </c>
      <c r="G112" s="188">
        <v>75</v>
      </c>
      <c r="H112" s="173">
        <f>2.22+2.3</f>
        <v>4.5199999999999996</v>
      </c>
      <c r="I112" s="173">
        <f t="shared" ref="I112" si="258">((F112*G112)+H112)/G112</f>
        <v>188.85026666666667</v>
      </c>
      <c r="J112" s="245">
        <f t="shared" ref="J112" si="259">I112*G112</f>
        <v>14163.77</v>
      </c>
      <c r="K112" s="173" cm="1">
        <f t="array" ref="K112">_FV(C112,"Price")</f>
        <v>194.92</v>
      </c>
      <c r="L112" s="533">
        <f t="shared" ref="L112" si="260">(N112-I112)*G112</f>
        <v>-44.27000000000092</v>
      </c>
      <c r="M112" s="117">
        <f t="shared" ref="M112" si="261">L112/J112</f>
        <v>-3.1255802657061587E-3</v>
      </c>
      <c r="N112" s="173">
        <v>188.26</v>
      </c>
      <c r="O112" s="224">
        <v>44571</v>
      </c>
      <c r="P112" s="224">
        <v>44571</v>
      </c>
      <c r="Q112" s="238">
        <f>Table29[[#This Row],[Close Date]]-Table29[[#This Row],[Open Date]]</f>
        <v>0</v>
      </c>
      <c r="R112" s="178"/>
      <c r="T112" s="54"/>
      <c r="U112" s="135"/>
    </row>
    <row r="113" spans="2:21" x14ac:dyDescent="0.25">
      <c r="B113" s="220">
        <v>97</v>
      </c>
      <c r="C113" s="121" t="e" vm="50">
        <v>#VALUE!</v>
      </c>
      <c r="D113" s="121" t="s">
        <v>21</v>
      </c>
      <c r="E113" s="120" t="s">
        <v>13</v>
      </c>
      <c r="F113" s="122">
        <v>56.524999999999999</v>
      </c>
      <c r="G113" s="187">
        <v>207</v>
      </c>
      <c r="H113" s="122">
        <f>2.67+2.75</f>
        <v>5.42</v>
      </c>
      <c r="I113" s="122">
        <f t="shared" ref="I113" si="262">((F113*G113)+H113)/G113</f>
        <v>56.551183574879225</v>
      </c>
      <c r="J113" s="244">
        <f t="shared" ref="J113" si="263">I113*G113</f>
        <v>11706.094999999999</v>
      </c>
      <c r="K113" s="122" cm="1">
        <f t="array" ref="K113">_FV(C113,"Price")</f>
        <v>43.67</v>
      </c>
      <c r="L113" s="122">
        <f t="shared" ref="L113" si="264">(N113-I113)*G113</f>
        <v>30.805000000000994</v>
      </c>
      <c r="M113" s="126">
        <f t="shared" ref="M113" si="265">L113/J113</f>
        <v>2.6315351105557403E-3</v>
      </c>
      <c r="N113" s="123">
        <v>56.7</v>
      </c>
      <c r="O113" s="223">
        <v>44571</v>
      </c>
      <c r="P113" s="223">
        <v>44571</v>
      </c>
      <c r="Q113" s="237">
        <f>Table29[[#This Row],[Close Date]]-Table29[[#This Row],[Open Date]]</f>
        <v>0</v>
      </c>
      <c r="R113" s="178"/>
      <c r="T113" s="54"/>
      <c r="U113" s="135"/>
    </row>
    <row r="114" spans="2:21" x14ac:dyDescent="0.25">
      <c r="B114" s="220">
        <v>98</v>
      </c>
      <c r="C114" s="121" t="e" vm="41">
        <v>#VALUE!</v>
      </c>
      <c r="D114" s="121" t="s">
        <v>21</v>
      </c>
      <c r="E114" s="120" t="s">
        <v>13</v>
      </c>
      <c r="F114" s="122">
        <v>40.549999999999997</v>
      </c>
      <c r="G114" s="187">
        <v>290</v>
      </c>
      <c r="H114" s="122">
        <f>3.74+3.83</f>
        <v>7.57</v>
      </c>
      <c r="I114" s="122">
        <f t="shared" ref="I114" si="266">((F114*G114)+H114)/G114</f>
        <v>40.576103448275859</v>
      </c>
      <c r="J114" s="244">
        <f t="shared" ref="J114" si="267">I114*G114</f>
        <v>11767.07</v>
      </c>
      <c r="K114" s="122" cm="1">
        <f t="array" ref="K114">_FV(C114,"Price")</f>
        <v>28.54</v>
      </c>
      <c r="L114" s="122">
        <f t="shared" ref="L114" si="268">(N114-I114)*G114</f>
        <v>35.930000000001741</v>
      </c>
      <c r="M114" s="126">
        <f t="shared" ref="M114" si="269">L114/J114</f>
        <v>3.0534364119531661E-3</v>
      </c>
      <c r="N114" s="123">
        <v>40.700000000000003</v>
      </c>
      <c r="O114" s="223">
        <v>44571</v>
      </c>
      <c r="P114" s="223">
        <v>44571</v>
      </c>
      <c r="Q114" s="237">
        <f>Table29[[#This Row],[Close Date]]-Table29[[#This Row],[Open Date]]</f>
        <v>0</v>
      </c>
      <c r="R114" s="178"/>
      <c r="T114" s="54"/>
      <c r="U114" s="135"/>
    </row>
    <row r="115" spans="2:21" x14ac:dyDescent="0.25">
      <c r="B115" s="221">
        <v>99</v>
      </c>
      <c r="C115" s="69" t="e" vm="73">
        <v>#VALUE!</v>
      </c>
      <c r="D115" s="69" t="s">
        <v>21</v>
      </c>
      <c r="E115" s="116" t="s">
        <v>13</v>
      </c>
      <c r="F115" s="173">
        <v>190</v>
      </c>
      <c r="G115" s="188">
        <v>75</v>
      </c>
      <c r="H115" s="173">
        <f>2.22+2.3</f>
        <v>4.5199999999999996</v>
      </c>
      <c r="I115" s="173">
        <f t="shared" ref="I115" si="270">((F115*G115)+H115)/G115</f>
        <v>190.06026666666668</v>
      </c>
      <c r="J115" s="245">
        <f t="shared" ref="J115" si="271">I115*G115</f>
        <v>14254.52</v>
      </c>
      <c r="K115" s="173" cm="1">
        <f t="array" ref="K115">_FV(C115,"Price")</f>
        <v>194.92</v>
      </c>
      <c r="L115" s="533">
        <f t="shared" ref="L115" si="272">(N115-I115)*G115</f>
        <v>-73.519999999999897</v>
      </c>
      <c r="M115" s="117">
        <f t="shared" ref="M115" si="273">L115/J115</f>
        <v>-5.1576622713356808E-3</v>
      </c>
      <c r="N115" s="173">
        <v>189.08</v>
      </c>
      <c r="O115" s="224">
        <v>44571</v>
      </c>
      <c r="P115" s="224">
        <v>44571</v>
      </c>
      <c r="Q115" s="238">
        <f>Table29[[#This Row],[Close Date]]-Table29[[#This Row],[Open Date]]</f>
        <v>0</v>
      </c>
      <c r="R115" s="178"/>
      <c r="T115" s="54"/>
      <c r="U115" s="135"/>
    </row>
    <row r="116" spans="2:21" x14ac:dyDescent="0.25">
      <c r="B116" s="221">
        <v>100</v>
      </c>
      <c r="C116" s="69" t="e" vm="41">
        <v>#VALUE!</v>
      </c>
      <c r="D116" s="69" t="s">
        <v>21</v>
      </c>
      <c r="E116" s="116" t="s">
        <v>13</v>
      </c>
      <c r="F116" s="173">
        <v>40.78</v>
      </c>
      <c r="G116" s="188">
        <v>287</v>
      </c>
      <c r="H116" s="173">
        <f>3.71+3.8</f>
        <v>7.51</v>
      </c>
      <c r="I116" s="173">
        <f t="shared" ref="I116" si="274">((F116*G116)+H116)/G116</f>
        <v>40.80616724738676</v>
      </c>
      <c r="J116" s="245">
        <f t="shared" ref="J116" si="275">I116*G116</f>
        <v>11711.37</v>
      </c>
      <c r="K116" s="173" cm="1">
        <f t="array" ref="K116">_FV(C116,"Price")</f>
        <v>28.54</v>
      </c>
      <c r="L116" s="533">
        <f t="shared" ref="L116" si="276">(N116-I116)*G116</f>
        <v>-1.7700000000010121</v>
      </c>
      <c r="M116" s="117">
        <f t="shared" ref="M116" si="277">L116/J116</f>
        <v>-1.5113517889034435E-4</v>
      </c>
      <c r="N116" s="173">
        <v>40.799999999999997</v>
      </c>
      <c r="O116" s="224">
        <v>44571</v>
      </c>
      <c r="P116" s="224">
        <v>44571</v>
      </c>
      <c r="Q116" s="238">
        <f>Table29[[#This Row],[Close Date]]-Table29[[#This Row],[Open Date]]</f>
        <v>0</v>
      </c>
      <c r="R116" s="178"/>
      <c r="T116" s="54"/>
      <c r="U116" s="135"/>
    </row>
    <row r="117" spans="2:21" x14ac:dyDescent="0.25">
      <c r="B117" s="220">
        <v>101</v>
      </c>
      <c r="C117" s="121" t="e" vm="29">
        <v>#VALUE!</v>
      </c>
      <c r="D117" s="121" t="s">
        <v>21</v>
      </c>
      <c r="E117" s="120" t="s">
        <v>13</v>
      </c>
      <c r="F117" s="122">
        <v>28.77</v>
      </c>
      <c r="G117" s="187">
        <v>348</v>
      </c>
      <c r="H117" s="122">
        <f>4.49+4.58</f>
        <v>9.07</v>
      </c>
      <c r="I117" s="122">
        <f t="shared" ref="I117" si="278">((F117*G117)+H117)/G117</f>
        <v>28.796063218390803</v>
      </c>
      <c r="J117" s="244">
        <f t="shared" ref="J117" si="279">I117*G117</f>
        <v>10021.029999999999</v>
      </c>
      <c r="K117" s="122" cm="1">
        <f t="array" ref="K117">_FV(C117,"Price")</f>
        <v>21.21</v>
      </c>
      <c r="L117" s="122">
        <f t="shared" ref="L117" si="280">(N117-I117)*G117</f>
        <v>1.3700000000009709</v>
      </c>
      <c r="M117" s="126">
        <f t="shared" ref="M117" si="281">L117/J117</f>
        <v>1.3671249362600163E-4</v>
      </c>
      <c r="N117" s="123">
        <v>28.8</v>
      </c>
      <c r="O117" s="223">
        <v>44571</v>
      </c>
      <c r="P117" s="223">
        <v>44571</v>
      </c>
      <c r="Q117" s="237">
        <f>Table29[[#This Row],[Close Date]]-Table29[[#This Row],[Open Date]]</f>
        <v>0</v>
      </c>
      <c r="R117" s="178"/>
      <c r="T117" s="54"/>
      <c r="U117" s="135"/>
    </row>
    <row r="118" spans="2:21" x14ac:dyDescent="0.25">
      <c r="B118" s="220">
        <v>102</v>
      </c>
      <c r="C118" s="121" t="e" vm="41">
        <v>#VALUE!</v>
      </c>
      <c r="D118" s="121" t="s">
        <v>21</v>
      </c>
      <c r="E118" s="120" t="s">
        <v>13</v>
      </c>
      <c r="F118" s="122">
        <v>40.58</v>
      </c>
      <c r="G118" s="187">
        <v>285</v>
      </c>
      <c r="H118" s="122">
        <f>3.69+3.78</f>
        <v>7.47</v>
      </c>
      <c r="I118" s="122">
        <f t="shared" ref="I118" si="282">((F118*G118)+H118)/G118</f>
        <v>40.606210526315785</v>
      </c>
      <c r="J118" s="244">
        <f t="shared" ref="J118" si="283">I118*G118</f>
        <v>11572.769999999999</v>
      </c>
      <c r="K118" s="122" cm="1">
        <f t="array" ref="K118">_FV(C118,"Price")</f>
        <v>28.54</v>
      </c>
      <c r="L118" s="122">
        <f t="shared" ref="L118" si="284">(N118-I118)*G118</f>
        <v>55.230000000000565</v>
      </c>
      <c r="M118" s="126">
        <f t="shared" ref="M118" si="285">L118/J118</f>
        <v>4.7724097169476775E-3</v>
      </c>
      <c r="N118" s="123">
        <v>40.799999999999997</v>
      </c>
      <c r="O118" s="223">
        <v>44571</v>
      </c>
      <c r="P118" s="223">
        <v>44571</v>
      </c>
      <c r="Q118" s="237">
        <f>Table29[[#This Row],[Close Date]]-Table29[[#This Row],[Open Date]]</f>
        <v>0</v>
      </c>
      <c r="R118" s="178"/>
      <c r="T118" s="54"/>
      <c r="U118" s="135"/>
    </row>
    <row r="119" spans="2:21" x14ac:dyDescent="0.25">
      <c r="B119" s="220">
        <v>103</v>
      </c>
      <c r="C119" s="121" t="e" vm="40">
        <v>#VALUE!</v>
      </c>
      <c r="D119" s="121" t="s">
        <v>21</v>
      </c>
      <c r="E119" s="120" t="s">
        <v>13</v>
      </c>
      <c r="F119" s="122">
        <v>68.900000000000006</v>
      </c>
      <c r="G119" s="187">
        <v>170</v>
      </c>
      <c r="H119" s="122">
        <f>2.5+2.58</f>
        <v>5.08</v>
      </c>
      <c r="I119" s="122">
        <f t="shared" ref="I119" si="286">((F119*G119)+H119)/G119</f>
        <v>68.929882352941192</v>
      </c>
      <c r="J119" s="244">
        <f t="shared" ref="J119" si="287">I119*G119</f>
        <v>11718.080000000002</v>
      </c>
      <c r="K119" s="122" cm="1">
        <f t="array" ref="K119">_FV(C119,"Price")</f>
        <v>59.77</v>
      </c>
      <c r="L119" s="122">
        <f t="shared" ref="L119" si="288">(N119-I119)*G119</f>
        <v>15.319999999996696</v>
      </c>
      <c r="M119" s="126">
        <f t="shared" ref="M119" si="289">L119/J119</f>
        <v>1.3073814140197621E-3</v>
      </c>
      <c r="N119" s="123">
        <v>69.02</v>
      </c>
      <c r="O119" s="223">
        <v>44571</v>
      </c>
      <c r="P119" s="223">
        <v>44571</v>
      </c>
      <c r="Q119" s="237">
        <f>Table29[[#This Row],[Close Date]]-Table29[[#This Row],[Open Date]]</f>
        <v>0</v>
      </c>
      <c r="R119" s="178"/>
      <c r="T119" s="54"/>
      <c r="U119" s="135"/>
    </row>
    <row r="120" spans="2:21" x14ac:dyDescent="0.25">
      <c r="B120" s="221">
        <v>104</v>
      </c>
      <c r="C120" s="69" t="e" vm="41">
        <v>#VALUE!</v>
      </c>
      <c r="D120" s="69" t="s">
        <v>21</v>
      </c>
      <c r="E120" s="116" t="s">
        <v>13</v>
      </c>
      <c r="F120" s="173">
        <v>40.880000000000003</v>
      </c>
      <c r="G120" s="188">
        <v>288</v>
      </c>
      <c r="H120" s="173">
        <f>3.71+3.8</f>
        <v>7.51</v>
      </c>
      <c r="I120" s="173">
        <f t="shared" ref="I120" si="290">((F120*G120)+H120)/G120</f>
        <v>40.906076388888891</v>
      </c>
      <c r="J120" s="245">
        <f t="shared" ref="J120" si="291">I120*G120</f>
        <v>11780.95</v>
      </c>
      <c r="K120" s="173" cm="1">
        <f t="array" ref="K120">_FV(C120,"Price")</f>
        <v>28.54</v>
      </c>
      <c r="L120" s="533">
        <f t="shared" ref="L120" si="292">(N120-I120)*G120</f>
        <v>-59.349999999999909</v>
      </c>
      <c r="M120" s="117">
        <f t="shared" ref="M120" si="293">L120/J120</f>
        <v>-5.0377940658435788E-3</v>
      </c>
      <c r="N120" s="173">
        <v>40.700000000000003</v>
      </c>
      <c r="O120" s="224">
        <v>44571</v>
      </c>
      <c r="P120" s="224">
        <v>44571</v>
      </c>
      <c r="Q120" s="238">
        <f>Table29[[#This Row],[Close Date]]-Table29[[#This Row],[Open Date]]</f>
        <v>0</v>
      </c>
      <c r="R120" s="178"/>
      <c r="T120" s="54"/>
      <c r="U120" s="135"/>
    </row>
    <row r="121" spans="2:21" x14ac:dyDescent="0.25">
      <c r="B121" s="221">
        <v>105</v>
      </c>
      <c r="C121" s="69" t="e" vm="28">
        <v>#VALUE!</v>
      </c>
      <c r="D121" s="69" t="s">
        <v>21</v>
      </c>
      <c r="E121" s="116" t="s">
        <v>13</v>
      </c>
      <c r="F121" s="173">
        <v>276</v>
      </c>
      <c r="G121" s="188">
        <v>50</v>
      </c>
      <c r="H121" s="173">
        <f>2.14+2.22</f>
        <v>4.3600000000000003</v>
      </c>
      <c r="I121" s="173">
        <f t="shared" ref="I121" si="294">((F121*G121)+H121)/G121</f>
        <v>276.0872</v>
      </c>
      <c r="J121" s="245">
        <f t="shared" ref="J121" si="295">I121*G121</f>
        <v>13804.36</v>
      </c>
      <c r="K121" s="173" cm="1">
        <f t="array" ref="K121">_FV(C121,"Price")</f>
        <v>282.19</v>
      </c>
      <c r="L121" s="533">
        <f t="shared" ref="L121" si="296">(N121-I121)*G121</f>
        <v>-14.359999999999218</v>
      </c>
      <c r="M121" s="117">
        <f t="shared" ref="M121" si="297">L121/J121</f>
        <v>-1.0402510511171267E-3</v>
      </c>
      <c r="N121" s="173">
        <v>275.8</v>
      </c>
      <c r="O121" s="224">
        <v>44572</v>
      </c>
      <c r="P121" s="224">
        <v>44572</v>
      </c>
      <c r="Q121" s="238">
        <f>Table29[[#This Row],[Close Date]]-Table29[[#This Row],[Open Date]]</f>
        <v>0</v>
      </c>
      <c r="R121" s="178"/>
      <c r="T121" s="54"/>
      <c r="U121" s="135"/>
    </row>
    <row r="122" spans="2:21" x14ac:dyDescent="0.25">
      <c r="B122" s="220">
        <v>106</v>
      </c>
      <c r="C122" s="121" t="e" vm="44">
        <v>#VALUE!</v>
      </c>
      <c r="D122" s="121" t="s">
        <v>21</v>
      </c>
      <c r="E122" s="120" t="s">
        <v>13</v>
      </c>
      <c r="F122" s="122">
        <v>3245</v>
      </c>
      <c r="G122" s="187">
        <v>4</v>
      </c>
      <c r="H122" s="122">
        <f>2+2.08</f>
        <v>4.08</v>
      </c>
      <c r="I122" s="122">
        <f t="shared" ref="I122" si="298">((F122*G122)+H122)/G122</f>
        <v>3246.02</v>
      </c>
      <c r="J122" s="244">
        <f t="shared" ref="J122" si="299">I122*G122</f>
        <v>12984.08</v>
      </c>
      <c r="K122" s="122" cm="1">
        <f t="array" ref="K122">_FV(C122,"Price")</f>
        <v>3379.81</v>
      </c>
      <c r="L122" s="122">
        <f t="shared" ref="L122" si="300">(N122-I122)*G122</f>
        <v>15.920000000000073</v>
      </c>
      <c r="M122" s="126">
        <f t="shared" ref="M122" si="301">L122/J122</f>
        <v>1.2261169062421113E-3</v>
      </c>
      <c r="N122" s="123">
        <v>3250</v>
      </c>
      <c r="O122" s="223">
        <v>44572</v>
      </c>
      <c r="P122" s="223">
        <v>44572</v>
      </c>
      <c r="Q122" s="237">
        <f>Table29[[#This Row],[Close Date]]-Table29[[#This Row],[Open Date]]</f>
        <v>0</v>
      </c>
      <c r="R122" s="178"/>
      <c r="T122" s="54"/>
      <c r="U122" s="135"/>
    </row>
    <row r="123" spans="2:21" x14ac:dyDescent="0.25">
      <c r="B123" s="220">
        <v>107</v>
      </c>
      <c r="C123" s="121" t="e" vm="40">
        <v>#VALUE!</v>
      </c>
      <c r="D123" s="121" t="s">
        <v>21</v>
      </c>
      <c r="E123" s="120" t="s">
        <v>13</v>
      </c>
      <c r="F123" s="122">
        <v>71</v>
      </c>
      <c r="G123" s="187">
        <v>158</v>
      </c>
      <c r="H123" s="122">
        <f>2.54+2.2+2.25</f>
        <v>6.99</v>
      </c>
      <c r="I123" s="122">
        <f t="shared" ref="I123" si="302">((F123*G123)+H123)/G123</f>
        <v>71.044240506329118</v>
      </c>
      <c r="J123" s="244">
        <f t="shared" ref="J123" si="303">I123*G123</f>
        <v>11224.99</v>
      </c>
      <c r="K123" s="122" cm="1">
        <f t="array" ref="K123">_FV(C123,"Price")</f>
        <v>59.77</v>
      </c>
      <c r="L123" s="122">
        <f t="shared" ref="L123" si="304">(N123-I123)*G123</f>
        <v>40.409999999998973</v>
      </c>
      <c r="M123" s="126">
        <f t="shared" ref="M123" si="305">L123/J123</f>
        <v>3.6000032071297145E-3</v>
      </c>
      <c r="N123" s="123">
        <v>71.3</v>
      </c>
      <c r="O123" s="223">
        <v>44572</v>
      </c>
      <c r="P123" s="223">
        <v>44572</v>
      </c>
      <c r="Q123" s="237">
        <f>Table29[[#This Row],[Close Date]]-Table29[[#This Row],[Open Date]]</f>
        <v>0</v>
      </c>
      <c r="R123" s="178"/>
      <c r="T123" s="54"/>
      <c r="U123" s="135"/>
    </row>
    <row r="124" spans="2:21" x14ac:dyDescent="0.25">
      <c r="B124" s="221">
        <v>108</v>
      </c>
      <c r="C124" s="69" t="e" vm="28">
        <v>#VALUE!</v>
      </c>
      <c r="D124" s="69" t="s">
        <v>21</v>
      </c>
      <c r="E124" s="116" t="s">
        <v>13</v>
      </c>
      <c r="F124" s="173">
        <v>275.2</v>
      </c>
      <c r="G124" s="188">
        <v>52</v>
      </c>
      <c r="H124" s="173">
        <f>2.23+2.15</f>
        <v>4.38</v>
      </c>
      <c r="I124" s="173">
        <f t="shared" ref="I124" si="306">((F124*G124)+H124)/G124</f>
        <v>275.28423076923076</v>
      </c>
      <c r="J124" s="245">
        <f t="shared" ref="J124" si="307">I124*G124</f>
        <v>14314.779999999999</v>
      </c>
      <c r="K124" s="173" cm="1">
        <f t="array" ref="K124">_FV(C124,"Price")</f>
        <v>282.19</v>
      </c>
      <c r="L124" s="533">
        <f t="shared" ref="L124" si="308">(N124-I124)*G124</f>
        <v>-118.77999999999952</v>
      </c>
      <c r="M124" s="117">
        <f t="shared" ref="M124" si="309">L124/J124</f>
        <v>-8.2977174640476159E-3</v>
      </c>
      <c r="N124" s="173">
        <v>273</v>
      </c>
      <c r="O124" s="224">
        <v>44572</v>
      </c>
      <c r="P124" s="224">
        <v>44572</v>
      </c>
      <c r="Q124" s="238">
        <f>Table29[[#This Row],[Close Date]]-Table29[[#This Row],[Open Date]]</f>
        <v>0</v>
      </c>
      <c r="R124" s="178"/>
      <c r="T124" s="54"/>
      <c r="U124" s="135"/>
    </row>
    <row r="125" spans="2:21" x14ac:dyDescent="0.25">
      <c r="B125" s="220">
        <v>109</v>
      </c>
      <c r="C125" s="121" t="e" vm="40">
        <v>#VALUE!</v>
      </c>
      <c r="D125" s="121" t="s">
        <v>21</v>
      </c>
      <c r="E125" s="120" t="s">
        <v>13</v>
      </c>
      <c r="F125" s="122">
        <v>70.72</v>
      </c>
      <c r="G125" s="187">
        <v>167</v>
      </c>
      <c r="H125" s="122">
        <f>2.49+2.57</f>
        <v>5.0600000000000005</v>
      </c>
      <c r="I125" s="122">
        <f t="shared" ref="I125" si="310">((F125*G125)+H125)/G125</f>
        <v>70.750299401197594</v>
      </c>
      <c r="J125" s="244">
        <f t="shared" ref="J125" si="311">I125*G125</f>
        <v>11815.299999999997</v>
      </c>
      <c r="K125" s="122" cm="1">
        <f t="array" ref="K125">_FV(C125,"Price")</f>
        <v>59.77</v>
      </c>
      <c r="L125" s="122">
        <f t="shared" ref="L125" si="312">(N125-I125)*G125</f>
        <v>6.630000000002795</v>
      </c>
      <c r="M125" s="126">
        <f t="shared" ref="M125" si="313">L125/J125</f>
        <v>5.6113683105827163E-4</v>
      </c>
      <c r="N125" s="123">
        <v>70.790000000000006</v>
      </c>
      <c r="O125" s="223">
        <v>44572</v>
      </c>
      <c r="P125" s="223">
        <v>44572</v>
      </c>
      <c r="Q125" s="237">
        <f>Table29[[#This Row],[Close Date]]-Table29[[#This Row],[Open Date]]</f>
        <v>0</v>
      </c>
      <c r="R125" s="178"/>
      <c r="T125" s="54"/>
      <c r="U125" s="135"/>
    </row>
    <row r="126" spans="2:21" x14ac:dyDescent="0.25">
      <c r="B126" s="221">
        <v>110</v>
      </c>
      <c r="C126" s="69" t="e" vm="40">
        <v>#VALUE!</v>
      </c>
      <c r="D126" s="69" t="s">
        <v>21</v>
      </c>
      <c r="E126" s="116" t="s">
        <v>13</v>
      </c>
      <c r="F126" s="173">
        <v>71.5</v>
      </c>
      <c r="G126" s="188">
        <v>166</v>
      </c>
      <c r="H126" s="173">
        <f>2.49+2.57</f>
        <v>5.0600000000000005</v>
      </c>
      <c r="I126" s="173">
        <f t="shared" ref="I126" si="314">((F126*G126)+H126)/G126</f>
        <v>71.530481927710838</v>
      </c>
      <c r="J126" s="245">
        <f t="shared" ref="J126" si="315">I126*G126</f>
        <v>11874.06</v>
      </c>
      <c r="K126" s="173" cm="1">
        <f t="array" ref="K126">_FV(C126,"Price")</f>
        <v>59.77</v>
      </c>
      <c r="L126" s="533">
        <f t="shared" ref="L126" si="316">(N126-I126)*G126</f>
        <v>-111.29999999999919</v>
      </c>
      <c r="M126" s="117">
        <f t="shared" ref="M126" si="317">L126/J126</f>
        <v>-9.3733735554645328E-3</v>
      </c>
      <c r="N126" s="173">
        <v>70.86</v>
      </c>
      <c r="O126" s="224">
        <v>44572</v>
      </c>
      <c r="P126" s="224">
        <v>44572</v>
      </c>
      <c r="Q126" s="238">
        <f>Table29[[#This Row],[Close Date]]-Table29[[#This Row],[Open Date]]</f>
        <v>0</v>
      </c>
      <c r="R126" s="178"/>
      <c r="T126" s="54"/>
      <c r="U126" s="135"/>
    </row>
    <row r="127" spans="2:21" x14ac:dyDescent="0.25">
      <c r="B127" s="221">
        <v>111</v>
      </c>
      <c r="C127" s="69" t="e" vm="40">
        <v>#VALUE!</v>
      </c>
      <c r="D127" s="69" t="s">
        <v>21</v>
      </c>
      <c r="E127" s="116" t="s">
        <v>13</v>
      </c>
      <c r="F127" s="173">
        <v>72.599999999999994</v>
      </c>
      <c r="G127" s="188">
        <v>161</v>
      </c>
      <c r="H127" s="173">
        <f>2.47+2.55</f>
        <v>5.0199999999999996</v>
      </c>
      <c r="I127" s="173">
        <f t="shared" ref="I127" si="318">((F127*G127)+H127)/G127</f>
        <v>72.63118012422359</v>
      </c>
      <c r="J127" s="245">
        <f t="shared" ref="J127" si="319">I127*G127</f>
        <v>11693.619999999997</v>
      </c>
      <c r="K127" s="173" cm="1">
        <f t="array" ref="K127">_FV(C127,"Price")</f>
        <v>59.77</v>
      </c>
      <c r="L127" s="533">
        <f t="shared" ref="L127" si="320">(N127-I127)*G127</f>
        <v>-101.61999999999802</v>
      </c>
      <c r="M127" s="117">
        <f t="shared" ref="M127" si="321">L127/J127</f>
        <v>-8.690208848927709E-3</v>
      </c>
      <c r="N127" s="173">
        <v>72</v>
      </c>
      <c r="O127" s="224">
        <v>44572</v>
      </c>
      <c r="P127" s="224">
        <v>44572</v>
      </c>
      <c r="Q127" s="238">
        <f>Table29[[#This Row],[Close Date]]-Table29[[#This Row],[Open Date]]</f>
        <v>0</v>
      </c>
      <c r="R127" s="178"/>
      <c r="T127" s="54"/>
      <c r="U127" s="135"/>
    </row>
    <row r="128" spans="2:21" x14ac:dyDescent="0.25">
      <c r="B128" s="221">
        <v>112</v>
      </c>
      <c r="C128" s="69" t="e" vm="40">
        <v>#VALUE!</v>
      </c>
      <c r="D128" s="69" t="s">
        <v>21</v>
      </c>
      <c r="E128" s="116" t="s">
        <v>13</v>
      </c>
      <c r="F128" s="173">
        <v>74</v>
      </c>
      <c r="G128" s="188">
        <v>156</v>
      </c>
      <c r="H128" s="173">
        <f>2.46+2.54</f>
        <v>5</v>
      </c>
      <c r="I128" s="173">
        <f t="shared" ref="I128" si="322">((F128*G128)+H128)/G128</f>
        <v>74.032051282051285</v>
      </c>
      <c r="J128" s="245">
        <f t="shared" ref="J128" si="323">I128*G128</f>
        <v>11549</v>
      </c>
      <c r="K128" s="173" cm="1">
        <f t="array" ref="K128">_FV(C128,"Price")</f>
        <v>59.77</v>
      </c>
      <c r="L128" s="533">
        <f t="shared" ref="L128" si="324">(N128-I128)*G128</f>
        <v>-161.0000000000004</v>
      </c>
      <c r="M128" s="117">
        <f t="shared" ref="M128" si="325">L128/J128</f>
        <v>-1.3940600917828418E-2</v>
      </c>
      <c r="N128" s="173">
        <v>73</v>
      </c>
      <c r="O128" s="224">
        <v>44572</v>
      </c>
      <c r="P128" s="224">
        <v>44572</v>
      </c>
      <c r="Q128" s="238">
        <f>Table29[[#This Row],[Close Date]]-Table29[[#This Row],[Open Date]]</f>
        <v>0</v>
      </c>
      <c r="R128" s="178"/>
      <c r="T128" s="54"/>
      <c r="U128" s="135"/>
    </row>
    <row r="129" spans="2:21" x14ac:dyDescent="0.25">
      <c r="B129" s="220">
        <v>113</v>
      </c>
      <c r="C129" s="121" t="e" vm="11">
        <v>#VALUE!</v>
      </c>
      <c r="D129" s="121" t="s">
        <v>21</v>
      </c>
      <c r="E129" s="120" t="s">
        <v>13</v>
      </c>
      <c r="F129" s="122">
        <v>28.9</v>
      </c>
      <c r="G129" s="187">
        <v>384</v>
      </c>
      <c r="H129" s="122">
        <f>5.06+4.95</f>
        <v>10.01</v>
      </c>
      <c r="I129" s="122">
        <f t="shared" ref="I129" si="326">((F129*G129)+H129)/G129</f>
        <v>28.926067708333331</v>
      </c>
      <c r="J129" s="244">
        <f t="shared" ref="J129" si="327">I129*G129</f>
        <v>11107.609999999999</v>
      </c>
      <c r="K129" s="122" cm="1">
        <f t="array" ref="K129">_FV(C129,"Price")</f>
        <v>26.48</v>
      </c>
      <c r="L129" s="122">
        <f t="shared" ref="L129" si="328">(N129-I129)*G129</f>
        <v>28.390000000000782</v>
      </c>
      <c r="M129" s="126">
        <f t="shared" ref="M129" si="329">L129/J129</f>
        <v>2.5559053657808282E-3</v>
      </c>
      <c r="N129" s="123">
        <v>29</v>
      </c>
      <c r="O129" s="223">
        <v>44572</v>
      </c>
      <c r="P129" s="223">
        <v>44572</v>
      </c>
      <c r="Q129" s="237">
        <f>Table29[[#This Row],[Close Date]]-Table29[[#This Row],[Open Date]]</f>
        <v>0</v>
      </c>
      <c r="R129" s="178"/>
      <c r="T129" s="54"/>
      <c r="U129" s="135"/>
    </row>
    <row r="130" spans="2:21" x14ac:dyDescent="0.25">
      <c r="B130" s="221">
        <v>114</v>
      </c>
      <c r="C130" s="69" t="e" vm="40">
        <v>#VALUE!</v>
      </c>
      <c r="D130" s="69" t="s">
        <v>21</v>
      </c>
      <c r="E130" s="116" t="s">
        <v>13</v>
      </c>
      <c r="F130" s="173">
        <v>76</v>
      </c>
      <c r="G130" s="188">
        <v>148</v>
      </c>
      <c r="H130" s="173">
        <f>2.43+2.51</f>
        <v>4.9399999999999995</v>
      </c>
      <c r="I130" s="173">
        <f t="shared" ref="I130" si="330">((F130*G130)+H130)/G130</f>
        <v>76.033378378378387</v>
      </c>
      <c r="J130" s="245">
        <f t="shared" ref="J130" si="331">I130*G130</f>
        <v>11252.94</v>
      </c>
      <c r="K130" s="173" cm="1">
        <f t="array" ref="K130">_FV(C130,"Price")</f>
        <v>59.77</v>
      </c>
      <c r="L130" s="533">
        <f t="shared" ref="L130" si="332">(N130-I130)*G130</f>
        <v>-152.94000000000131</v>
      </c>
      <c r="M130" s="117">
        <f t="shared" ref="M130" si="333">L130/J130</f>
        <v>-1.3591114855317925E-2</v>
      </c>
      <c r="N130" s="173">
        <v>75</v>
      </c>
      <c r="O130" s="224">
        <v>44572</v>
      </c>
      <c r="P130" s="224">
        <v>44572</v>
      </c>
      <c r="Q130" s="238">
        <f>Table29[[#This Row],[Close Date]]-Table29[[#This Row],[Open Date]]</f>
        <v>0</v>
      </c>
      <c r="R130" s="178"/>
      <c r="T130" s="54"/>
      <c r="U130" s="135"/>
    </row>
    <row r="131" spans="2:21" x14ac:dyDescent="0.25">
      <c r="B131" s="221">
        <v>115</v>
      </c>
      <c r="C131" s="69" t="e" vm="40">
        <v>#VALUE!</v>
      </c>
      <c r="D131" s="69" t="s">
        <v>21</v>
      </c>
      <c r="E131" s="116" t="s">
        <v>13</v>
      </c>
      <c r="F131" s="173">
        <v>78</v>
      </c>
      <c r="G131" s="188">
        <v>142</v>
      </c>
      <c r="H131" s="173">
        <f>2.42+2.5</f>
        <v>4.92</v>
      </c>
      <c r="I131" s="173">
        <f t="shared" ref="I131" si="334">((F131*G131)+H131)/G131</f>
        <v>78.034647887323942</v>
      </c>
      <c r="J131" s="245">
        <f t="shared" ref="J131" si="335">I131*G131</f>
        <v>11080.92</v>
      </c>
      <c r="K131" s="173" cm="1">
        <f t="array" ref="K131">_FV(C131,"Price")</f>
        <v>59.77</v>
      </c>
      <c r="L131" s="533">
        <f t="shared" ref="L131" si="336">(N131-I131)*G131</f>
        <v>-4.9199999999997601</v>
      </c>
      <c r="M131" s="117">
        <f t="shared" ref="M131" si="337">L131/J131</f>
        <v>-4.4400645433770482E-4</v>
      </c>
      <c r="N131" s="173">
        <v>78</v>
      </c>
      <c r="O131" s="224">
        <v>44573</v>
      </c>
      <c r="P131" s="224">
        <v>44573</v>
      </c>
      <c r="Q131" s="238">
        <f>Table29[[#This Row],[Close Date]]-Table29[[#This Row],[Open Date]]</f>
        <v>0</v>
      </c>
      <c r="R131" s="178"/>
      <c r="T131" s="54"/>
      <c r="U131" s="135"/>
    </row>
    <row r="132" spans="2:21" x14ac:dyDescent="0.25">
      <c r="B132" s="220">
        <v>116</v>
      </c>
      <c r="C132" s="121" t="e" vm="40">
        <v>#VALUE!</v>
      </c>
      <c r="D132" s="121" t="s">
        <v>21</v>
      </c>
      <c r="E132" s="120" t="s">
        <v>13</v>
      </c>
      <c r="F132" s="122">
        <v>78.02</v>
      </c>
      <c r="G132" s="187">
        <v>170</v>
      </c>
      <c r="H132" s="122">
        <f>2.59+2.5</f>
        <v>5.09</v>
      </c>
      <c r="I132" s="122">
        <f t="shared" ref="I132" si="338">((F132*G132)+H132)/G132</f>
        <v>78.049941176470583</v>
      </c>
      <c r="J132" s="244">
        <f t="shared" ref="J132" si="339">I132*G132</f>
        <v>13268.49</v>
      </c>
      <c r="K132" s="122" cm="1">
        <f t="array" ref="K132">_FV(C132,"Price")</f>
        <v>59.77</v>
      </c>
      <c r="L132" s="122">
        <f t="shared" ref="L132" si="340">(N132-I132)*G132</f>
        <v>8.5099999999999909</v>
      </c>
      <c r="M132" s="126">
        <f t="shared" ref="M132" si="341">L132/J132</f>
        <v>6.4136913846262768E-4</v>
      </c>
      <c r="N132" s="123">
        <v>78.099999999999994</v>
      </c>
      <c r="O132" s="223">
        <v>44573</v>
      </c>
      <c r="P132" s="223">
        <v>44573</v>
      </c>
      <c r="Q132" s="237">
        <f>Table29[[#This Row],[Close Date]]-Table29[[#This Row],[Open Date]]</f>
        <v>0</v>
      </c>
      <c r="R132" s="178"/>
      <c r="T132" s="54"/>
      <c r="U132" s="135"/>
    </row>
    <row r="133" spans="2:21" x14ac:dyDescent="0.25">
      <c r="B133" s="220">
        <v>117</v>
      </c>
      <c r="C133" s="121" t="e" vm="40">
        <v>#VALUE!</v>
      </c>
      <c r="D133" s="121" t="s">
        <v>21</v>
      </c>
      <c r="E133" s="120" t="s">
        <v>13</v>
      </c>
      <c r="F133" s="122">
        <v>77.900000000000006</v>
      </c>
      <c r="G133" s="187">
        <v>170</v>
      </c>
      <c r="H133" s="122">
        <f>2.59+2.5</f>
        <v>5.09</v>
      </c>
      <c r="I133" s="122">
        <f t="shared" ref="I133" si="342">((F133*G133)+H133)/G133</f>
        <v>77.929941176470606</v>
      </c>
      <c r="J133" s="244">
        <f t="shared" ref="J133" si="343">I133*G133</f>
        <v>13248.090000000004</v>
      </c>
      <c r="K133" s="122" cm="1">
        <f t="array" ref="K133">_FV(C133,"Price")</f>
        <v>59.77</v>
      </c>
      <c r="L133" s="122">
        <f t="shared" ref="L133" si="344">(N133-I133)*G133</f>
        <v>28.909999999995932</v>
      </c>
      <c r="M133" s="126">
        <f t="shared" ref="M133" si="345">L133/J133</f>
        <v>2.1822013588370793E-3</v>
      </c>
      <c r="N133" s="123">
        <v>78.099999999999994</v>
      </c>
      <c r="O133" s="223">
        <v>44573</v>
      </c>
      <c r="P133" s="223">
        <v>44573</v>
      </c>
      <c r="Q133" s="237">
        <f>Table29[[#This Row],[Close Date]]-Table29[[#This Row],[Open Date]]</f>
        <v>0</v>
      </c>
      <c r="R133" s="178"/>
      <c r="T133" s="54"/>
      <c r="U133" s="135"/>
    </row>
    <row r="134" spans="2:21" x14ac:dyDescent="0.25">
      <c r="B134" s="221">
        <v>118</v>
      </c>
      <c r="C134" s="69" t="e" vm="40">
        <v>#VALUE!</v>
      </c>
      <c r="D134" s="69" t="s">
        <v>21</v>
      </c>
      <c r="E134" s="116" t="s">
        <v>13</v>
      </c>
      <c r="F134" s="173">
        <v>78</v>
      </c>
      <c r="G134" s="188">
        <v>170</v>
      </c>
      <c r="H134" s="173">
        <f>2.59+2.5</f>
        <v>5.09</v>
      </c>
      <c r="I134" s="173">
        <f t="shared" ref="I134" si="346">((F134*G134)+H134)/G134</f>
        <v>78.029941176470587</v>
      </c>
      <c r="J134" s="245">
        <f t="shared" ref="J134" si="347">I134*G134</f>
        <v>13265.09</v>
      </c>
      <c r="K134" s="173" cm="1">
        <f t="array" ref="K134">_FV(C134,"Price")</f>
        <v>59.77</v>
      </c>
      <c r="L134" s="533">
        <f t="shared" ref="L134" si="348">(N134-I134)*G134</f>
        <v>-73.090000000000686</v>
      </c>
      <c r="M134" s="117">
        <f t="shared" ref="M134" si="349">L134/J134</f>
        <v>-5.5099513082836745E-3</v>
      </c>
      <c r="N134" s="173">
        <v>77.599999999999994</v>
      </c>
      <c r="O134" s="224">
        <v>44573</v>
      </c>
      <c r="P134" s="224">
        <v>44573</v>
      </c>
      <c r="Q134" s="238">
        <f>Table29[[#This Row],[Close Date]]-Table29[[#This Row],[Open Date]]</f>
        <v>0</v>
      </c>
      <c r="R134" s="178"/>
      <c r="T134" s="54"/>
      <c r="U134" s="135"/>
    </row>
    <row r="135" spans="2:21" x14ac:dyDescent="0.25">
      <c r="B135" s="220">
        <v>119</v>
      </c>
      <c r="C135" s="121" t="e" vm="14">
        <v>#VALUE!</v>
      </c>
      <c r="D135" s="121" t="s">
        <v>21</v>
      </c>
      <c r="E135" s="120" t="s">
        <v>13</v>
      </c>
      <c r="F135" s="122">
        <v>137.30000000000001</v>
      </c>
      <c r="G135" s="187">
        <v>79</v>
      </c>
      <c r="H135" s="122">
        <f>2.23+2.3</f>
        <v>4.5299999999999994</v>
      </c>
      <c r="I135" s="122">
        <f t="shared" ref="I135" si="350">((F135*G135)+H135)/G135</f>
        <v>137.35734177215193</v>
      </c>
      <c r="J135" s="244">
        <f t="shared" ref="J135" si="351">I135*G135</f>
        <v>10851.230000000001</v>
      </c>
      <c r="K135" s="122" cm="1">
        <f t="array" ref="K135">_FV(C135,"Price")</f>
        <v>115.09</v>
      </c>
      <c r="L135" s="122">
        <f t="shared" ref="L135" si="352">(N135-I135)*G135</f>
        <v>19.169999999997373</v>
      </c>
      <c r="M135" s="126">
        <f t="shared" ref="M135" si="353">L135/J135</f>
        <v>1.7666200052894807E-3</v>
      </c>
      <c r="N135" s="123">
        <v>137.6</v>
      </c>
      <c r="O135" s="223">
        <v>44573</v>
      </c>
      <c r="P135" s="223">
        <v>44573</v>
      </c>
      <c r="Q135" s="237">
        <f>Table29[[#This Row],[Close Date]]-Table29[[#This Row],[Open Date]]</f>
        <v>0</v>
      </c>
      <c r="R135" s="178"/>
      <c r="T135" s="54"/>
      <c r="U135" s="135"/>
    </row>
    <row r="136" spans="2:21" x14ac:dyDescent="0.25">
      <c r="B136" s="220">
        <v>120</v>
      </c>
      <c r="C136" s="121" t="e" vm="70">
        <v>#VALUE!</v>
      </c>
      <c r="D136" s="121" t="s">
        <v>21</v>
      </c>
      <c r="E136" s="120" t="s">
        <v>13</v>
      </c>
      <c r="F136" s="122">
        <v>46.8</v>
      </c>
      <c r="G136" s="187">
        <v>140</v>
      </c>
      <c r="H136" s="122">
        <f>2.41+2.46</f>
        <v>4.87</v>
      </c>
      <c r="I136" s="122">
        <f t="shared" ref="I136" si="354">((F136*G136)+H136)/G136</f>
        <v>46.834785714285715</v>
      </c>
      <c r="J136" s="244">
        <f t="shared" ref="J136" si="355">I136*G136</f>
        <v>6556.87</v>
      </c>
      <c r="K136" s="122" cm="1">
        <f t="array" ref="K136">_FV(C136,"Price")</f>
        <v>33.799999999999997</v>
      </c>
      <c r="L136" s="122">
        <f t="shared" ref="L136" si="356">(N136-I136)*G136</f>
        <v>6.3300000000002399</v>
      </c>
      <c r="M136" s="126">
        <f t="shared" ref="M136" si="357">L136/J136</f>
        <v>9.6539964952793635E-4</v>
      </c>
      <c r="N136" s="123">
        <v>46.88</v>
      </c>
      <c r="O136" s="223">
        <v>44573</v>
      </c>
      <c r="P136" s="223">
        <v>44573</v>
      </c>
      <c r="Q136" s="237">
        <f>Table29[[#This Row],[Close Date]]-Table29[[#This Row],[Open Date]]</f>
        <v>0</v>
      </c>
      <c r="R136" s="178"/>
      <c r="T136" s="54"/>
      <c r="U136" s="135"/>
    </row>
    <row r="137" spans="2:21" x14ac:dyDescent="0.25">
      <c r="B137" s="221">
        <v>121</v>
      </c>
      <c r="C137" s="69" t="e" vm="50">
        <v>#VALUE!</v>
      </c>
      <c r="D137" s="69" t="s">
        <v>21</v>
      </c>
      <c r="E137" s="116" t="s">
        <v>13</v>
      </c>
      <c r="F137" s="173">
        <v>61.14</v>
      </c>
      <c r="G137" s="188">
        <v>214</v>
      </c>
      <c r="H137" s="173">
        <f>2.86+2.76</f>
        <v>5.6199999999999992</v>
      </c>
      <c r="I137" s="173">
        <f t="shared" ref="I137:I139" si="358">((F137*G137)+H137)/G137</f>
        <v>61.166261682242997</v>
      </c>
      <c r="J137" s="245">
        <f t="shared" ref="J137:J139" si="359">I137*G137</f>
        <v>13089.580000000002</v>
      </c>
      <c r="K137" s="173" cm="1">
        <f t="array" ref="K137">_FV(C137,"Price")</f>
        <v>43.67</v>
      </c>
      <c r="L137" s="533">
        <f t="shared" ref="L137:L139" si="360">(N137-I137)*G137</f>
        <v>-35.580000000001306</v>
      </c>
      <c r="M137" s="117">
        <f t="shared" ref="M137:M139" si="361">L137/J137</f>
        <v>-2.7181926387249478E-3</v>
      </c>
      <c r="N137" s="173">
        <v>61</v>
      </c>
      <c r="O137" s="224">
        <v>44573</v>
      </c>
      <c r="P137" s="224">
        <v>44573</v>
      </c>
      <c r="Q137" s="238">
        <f>Table29[[#This Row],[Close Date]]-Table29[[#This Row],[Open Date]]</f>
        <v>0</v>
      </c>
      <c r="R137" s="178"/>
      <c r="T137" s="54"/>
      <c r="U137" s="135"/>
    </row>
    <row r="138" spans="2:21" x14ac:dyDescent="0.25">
      <c r="B138" s="221">
        <v>122</v>
      </c>
      <c r="C138" s="69" t="e" vm="70">
        <v>#VALUE!</v>
      </c>
      <c r="D138" s="69" t="s">
        <v>21</v>
      </c>
      <c r="E138" s="116" t="s">
        <v>13</v>
      </c>
      <c r="F138" s="173">
        <v>46.43</v>
      </c>
      <c r="G138" s="188">
        <v>280</v>
      </c>
      <c r="H138" s="173">
        <f>3.71+3.61</f>
        <v>7.32</v>
      </c>
      <c r="I138" s="173">
        <f t="shared" si="358"/>
        <v>46.456142857142858</v>
      </c>
      <c r="J138" s="245">
        <f t="shared" si="359"/>
        <v>13007.72</v>
      </c>
      <c r="K138" s="173" cm="1">
        <f t="array" ref="K138">_FV(C138,"Price")</f>
        <v>33.799999999999997</v>
      </c>
      <c r="L138" s="533">
        <f t="shared" si="360"/>
        <v>-38.120000000000118</v>
      </c>
      <c r="M138" s="117">
        <f t="shared" si="361"/>
        <v>-2.9305673861368571E-3</v>
      </c>
      <c r="N138" s="173">
        <v>46.32</v>
      </c>
      <c r="O138" s="224">
        <v>44573</v>
      </c>
      <c r="P138" s="224">
        <v>44573</v>
      </c>
      <c r="Q138" s="238">
        <f>Table29[[#This Row],[Close Date]]-Table29[[#This Row],[Open Date]]</f>
        <v>0</v>
      </c>
      <c r="R138" s="178"/>
      <c r="T138" s="54"/>
      <c r="U138" s="135"/>
    </row>
    <row r="139" spans="2:21" x14ac:dyDescent="0.25">
      <c r="B139" s="220">
        <v>123</v>
      </c>
      <c r="C139" s="121" t="e" vm="40">
        <v>#VALUE!</v>
      </c>
      <c r="D139" s="121" t="s">
        <v>21</v>
      </c>
      <c r="E139" s="120" t="s">
        <v>13</v>
      </c>
      <c r="F139" s="122">
        <v>77.099999999999994</v>
      </c>
      <c r="G139" s="187">
        <v>167</v>
      </c>
      <c r="H139" s="122">
        <f>2.58+2.49</f>
        <v>5.07</v>
      </c>
      <c r="I139" s="122">
        <f t="shared" si="358"/>
        <v>77.130359281437123</v>
      </c>
      <c r="J139" s="244">
        <f t="shared" si="359"/>
        <v>12880.769999999999</v>
      </c>
      <c r="K139" s="122" cm="1">
        <f t="array" ref="K139">_FV(C139,"Price")</f>
        <v>59.77</v>
      </c>
      <c r="L139" s="122">
        <f t="shared" si="360"/>
        <v>11.630000000000962</v>
      </c>
      <c r="M139" s="126">
        <f t="shared" si="361"/>
        <v>9.0289633306090886E-4</v>
      </c>
      <c r="N139" s="123">
        <v>77.2</v>
      </c>
      <c r="O139" s="223">
        <v>44573</v>
      </c>
      <c r="P139" s="223">
        <v>44573</v>
      </c>
      <c r="Q139" s="237">
        <f>Table29[[#This Row],[Close Date]]-Table29[[#This Row],[Open Date]]</f>
        <v>0</v>
      </c>
      <c r="R139" s="178"/>
      <c r="T139" s="54"/>
      <c r="U139" s="135"/>
    </row>
    <row r="140" spans="2:21" x14ac:dyDescent="0.25">
      <c r="B140" s="220">
        <v>124</v>
      </c>
      <c r="C140" s="121" t="e" vm="50">
        <v>#VALUE!</v>
      </c>
      <c r="D140" s="121" t="s">
        <v>21</v>
      </c>
      <c r="E140" s="120" t="s">
        <v>13</v>
      </c>
      <c r="F140" s="122">
        <v>61</v>
      </c>
      <c r="G140" s="187">
        <v>175</v>
      </c>
      <c r="H140" s="122">
        <f>2.52+2.59</f>
        <v>5.1099999999999994</v>
      </c>
      <c r="I140" s="122">
        <f t="shared" ref="I140" si="362">((F140*G140)+H140)/G140</f>
        <v>61.029200000000003</v>
      </c>
      <c r="J140" s="244">
        <f t="shared" ref="J140" si="363">I140*G140</f>
        <v>10680.11</v>
      </c>
      <c r="K140" s="122" cm="1">
        <f t="array" ref="K140">_FV(C140,"Price")</f>
        <v>43.67</v>
      </c>
      <c r="L140" s="122">
        <f t="shared" ref="L140" si="364">(N140-I140)*G140</f>
        <v>29.889999999999972</v>
      </c>
      <c r="M140" s="126">
        <f t="shared" ref="M140" si="365">L140/J140</f>
        <v>2.7986603134237354E-3</v>
      </c>
      <c r="N140" s="123">
        <v>61.2</v>
      </c>
      <c r="O140" s="223">
        <v>44573</v>
      </c>
      <c r="P140" s="223">
        <v>44573</v>
      </c>
      <c r="Q140" s="237">
        <f>Table29[[#This Row],[Close Date]]-Table29[[#This Row],[Open Date]]</f>
        <v>0</v>
      </c>
      <c r="R140" s="178"/>
      <c r="T140" s="54"/>
      <c r="U140" s="135"/>
    </row>
    <row r="141" spans="2:21" x14ac:dyDescent="0.25">
      <c r="B141" s="220">
        <v>125</v>
      </c>
      <c r="C141" s="121" t="e" vm="29">
        <v>#VALUE!</v>
      </c>
      <c r="D141" s="121" t="s">
        <v>21</v>
      </c>
      <c r="E141" s="120" t="s">
        <v>13</v>
      </c>
      <c r="F141" s="122">
        <v>30.8</v>
      </c>
      <c r="G141" s="187">
        <v>348</v>
      </c>
      <c r="H141" s="122">
        <f>4.49+4.58</f>
        <v>9.07</v>
      </c>
      <c r="I141" s="122">
        <f t="shared" ref="I141:I143" si="366">((F141*G141)+H141)/G141</f>
        <v>30.826063218390804</v>
      </c>
      <c r="J141" s="244">
        <f t="shared" ref="J141:J143" si="367">I141*G141</f>
        <v>10727.47</v>
      </c>
      <c r="K141" s="122" cm="1">
        <f t="array" ref="K141">_FV(C141,"Price")</f>
        <v>21.21</v>
      </c>
      <c r="L141" s="122">
        <f t="shared" ref="L141:L143" si="368">(N141-I141)*G141</f>
        <v>29.210000000000377</v>
      </c>
      <c r="M141" s="126">
        <f t="shared" ref="M141:M143" si="369">L141/J141</f>
        <v>2.722916027730712E-3</v>
      </c>
      <c r="N141" s="123">
        <v>30.91</v>
      </c>
      <c r="O141" s="223">
        <v>44573</v>
      </c>
      <c r="P141" s="223">
        <v>44573</v>
      </c>
      <c r="Q141" s="237">
        <f>Table29[[#This Row],[Close Date]]-Table29[[#This Row],[Open Date]]</f>
        <v>0</v>
      </c>
      <c r="R141" s="178"/>
      <c r="T141" s="54"/>
      <c r="U141" s="135"/>
    </row>
    <row r="142" spans="2:21" x14ac:dyDescent="0.25">
      <c r="B142" s="220">
        <v>126</v>
      </c>
      <c r="C142" s="121" t="e" vm="50">
        <v>#VALUE!</v>
      </c>
      <c r="D142" s="121" t="s">
        <v>21</v>
      </c>
      <c r="E142" s="120" t="s">
        <v>13</v>
      </c>
      <c r="F142" s="122">
        <v>60.5</v>
      </c>
      <c r="G142" s="187">
        <v>214</v>
      </c>
      <c r="H142" s="122">
        <f>2.86+2.76</f>
        <v>5.6199999999999992</v>
      </c>
      <c r="I142" s="122">
        <f t="shared" si="366"/>
        <v>60.526261682242996</v>
      </c>
      <c r="J142" s="244">
        <f t="shared" si="367"/>
        <v>12952.62</v>
      </c>
      <c r="K142" s="122" cm="1">
        <f t="array" ref="K142">_FV(C142,"Price")</f>
        <v>43.67</v>
      </c>
      <c r="L142" s="122">
        <f t="shared" si="368"/>
        <v>15.77999999999912</v>
      </c>
      <c r="M142" s="126">
        <f t="shared" si="369"/>
        <v>1.2182863389799993E-3</v>
      </c>
      <c r="N142" s="123">
        <v>60.6</v>
      </c>
      <c r="O142" s="223">
        <v>44573</v>
      </c>
      <c r="P142" s="223">
        <v>44573</v>
      </c>
      <c r="Q142" s="237">
        <f>Table29[[#This Row],[Close Date]]-Table29[[#This Row],[Open Date]]</f>
        <v>0</v>
      </c>
      <c r="R142" s="178"/>
      <c r="T142" s="54"/>
      <c r="U142" s="135"/>
    </row>
    <row r="143" spans="2:21" x14ac:dyDescent="0.25">
      <c r="B143" s="220">
        <v>127</v>
      </c>
      <c r="C143" s="121" t="e" vm="14">
        <v>#VALUE!</v>
      </c>
      <c r="D143" s="121" t="s">
        <v>21</v>
      </c>
      <c r="E143" s="120" t="s">
        <v>13</v>
      </c>
      <c r="F143" s="122">
        <v>136.5</v>
      </c>
      <c r="G143" s="187">
        <v>78</v>
      </c>
      <c r="H143" s="122">
        <f>2.22+2.28</f>
        <v>4.5</v>
      </c>
      <c r="I143" s="122">
        <f t="shared" si="366"/>
        <v>136.55769230769232</v>
      </c>
      <c r="J143" s="244">
        <f t="shared" si="367"/>
        <v>10651.500000000002</v>
      </c>
      <c r="K143" s="122" cm="1">
        <f t="array" ref="K143">_FV(C143,"Price")</f>
        <v>115.09</v>
      </c>
      <c r="L143" s="122">
        <f t="shared" si="368"/>
        <v>34.499999999998977</v>
      </c>
      <c r="M143" s="126">
        <f t="shared" si="369"/>
        <v>3.2389804252921156E-3</v>
      </c>
      <c r="N143" s="123">
        <v>137</v>
      </c>
      <c r="O143" s="223">
        <v>44573</v>
      </c>
      <c r="P143" s="223">
        <v>44573</v>
      </c>
      <c r="Q143" s="237">
        <f>Table29[[#This Row],[Close Date]]-Table29[[#This Row],[Open Date]]</f>
        <v>0</v>
      </c>
      <c r="R143" s="178"/>
      <c r="T143" s="54"/>
      <c r="U143" s="135"/>
    </row>
    <row r="144" spans="2:21" x14ac:dyDescent="0.25">
      <c r="B144" s="220">
        <v>128</v>
      </c>
      <c r="C144" s="121" t="e" vm="29">
        <v>#VALUE!</v>
      </c>
      <c r="D144" s="121" t="s">
        <v>21</v>
      </c>
      <c r="E144" s="120" t="s">
        <v>13</v>
      </c>
      <c r="F144" s="122">
        <v>30.484999999999999</v>
      </c>
      <c r="G144" s="187">
        <v>300</v>
      </c>
      <c r="H144" s="122">
        <f>3.96+3.87</f>
        <v>7.83</v>
      </c>
      <c r="I144" s="122">
        <f t="shared" ref="I144:I145" si="370">((F144*G144)+H144)/G144</f>
        <v>30.511099999999999</v>
      </c>
      <c r="J144" s="244">
        <f t="shared" ref="J144:J145" si="371">I144*G144</f>
        <v>9153.33</v>
      </c>
      <c r="K144" s="122" cm="1">
        <f t="array" ref="K144">_FV(C144,"Price")</f>
        <v>21.21</v>
      </c>
      <c r="L144" s="122">
        <f t="shared" ref="L144:L145" si="372">(N144-I144)*G144</f>
        <v>26.670000000000726</v>
      </c>
      <c r="M144" s="126">
        <f t="shared" ref="M144:M145" si="373">L144/J144</f>
        <v>2.9136937049140288E-3</v>
      </c>
      <c r="N144" s="123">
        <v>30.6</v>
      </c>
      <c r="O144" s="223">
        <v>44573</v>
      </c>
      <c r="P144" s="223">
        <v>44573</v>
      </c>
      <c r="Q144" s="237">
        <f>Table29[[#This Row],[Close Date]]-Table29[[#This Row],[Open Date]]</f>
        <v>0</v>
      </c>
      <c r="R144" s="178"/>
      <c r="T144" s="54"/>
      <c r="U144" s="135"/>
    </row>
    <row r="145" spans="2:21" x14ac:dyDescent="0.25">
      <c r="B145" s="220">
        <v>129</v>
      </c>
      <c r="C145" s="121" t="e" vm="14">
        <v>#VALUE!</v>
      </c>
      <c r="D145" s="121" t="s">
        <v>21</v>
      </c>
      <c r="E145" s="120" t="s">
        <v>13</v>
      </c>
      <c r="F145" s="122">
        <v>135.87</v>
      </c>
      <c r="G145" s="187">
        <v>95</v>
      </c>
      <c r="H145" s="122">
        <f>2.36+2.28</f>
        <v>4.6399999999999997</v>
      </c>
      <c r="I145" s="122">
        <f t="shared" si="370"/>
        <v>135.91884210526314</v>
      </c>
      <c r="J145" s="244">
        <f t="shared" si="371"/>
        <v>12912.289999999997</v>
      </c>
      <c r="K145" s="122" cm="1">
        <f t="array" ref="K145">_FV(C145,"Price")</f>
        <v>115.09</v>
      </c>
      <c r="L145" s="122">
        <f t="shared" si="372"/>
        <v>7.7100000000018554</v>
      </c>
      <c r="M145" s="126">
        <f t="shared" si="373"/>
        <v>5.9710554828011587E-4</v>
      </c>
      <c r="N145" s="123">
        <v>136</v>
      </c>
      <c r="O145" s="223">
        <v>44573</v>
      </c>
      <c r="P145" s="223">
        <v>44573</v>
      </c>
      <c r="Q145" s="237">
        <f>Table29[[#This Row],[Close Date]]-Table29[[#This Row],[Open Date]]</f>
        <v>0</v>
      </c>
      <c r="R145" s="178"/>
      <c r="T145" s="54"/>
      <c r="U145" s="135"/>
    </row>
    <row r="146" spans="2:21" x14ac:dyDescent="0.25">
      <c r="B146" s="220">
        <v>130</v>
      </c>
      <c r="C146" s="121" t="e" vm="27">
        <v>#VALUE!</v>
      </c>
      <c r="D146" s="121" t="s">
        <v>21</v>
      </c>
      <c r="E146" s="120" t="s">
        <v>13</v>
      </c>
      <c r="F146" s="122">
        <v>63.9</v>
      </c>
      <c r="G146" s="187">
        <v>200</v>
      </c>
      <c r="H146" s="122">
        <f>2.68+2.59</f>
        <v>5.27</v>
      </c>
      <c r="I146" s="122">
        <f t="shared" ref="I146:I147" si="374">((F146*G146)+H146)/G146</f>
        <v>63.926349999999999</v>
      </c>
      <c r="J146" s="244">
        <f t="shared" ref="J146:J147" si="375">I146*G146</f>
        <v>12785.27</v>
      </c>
      <c r="K146" s="122" cm="1">
        <f t="array" ref="K146">_FV(C146,"Price")</f>
        <v>80.010000000000005</v>
      </c>
      <c r="L146" s="122">
        <f t="shared" ref="L146:L147" si="376">(N146-I146)*G146</f>
        <v>20.730000000000359</v>
      </c>
      <c r="M146" s="126">
        <f t="shared" ref="M146:M147" si="377">L146/J146</f>
        <v>1.6213971234084505E-3</v>
      </c>
      <c r="N146" s="123">
        <v>64.03</v>
      </c>
      <c r="O146" s="223">
        <v>44573</v>
      </c>
      <c r="P146" s="223">
        <v>44573</v>
      </c>
      <c r="Q146" s="237">
        <f>Table29[[#This Row],[Close Date]]-Table29[[#This Row],[Open Date]]</f>
        <v>0</v>
      </c>
      <c r="R146" s="178"/>
      <c r="T146" s="54"/>
      <c r="U146" s="135"/>
    </row>
    <row r="147" spans="2:21" x14ac:dyDescent="0.25">
      <c r="B147" s="220">
        <v>131</v>
      </c>
      <c r="C147" s="121" t="e" vm="14">
        <v>#VALUE!</v>
      </c>
      <c r="D147" s="121" t="s">
        <v>21</v>
      </c>
      <c r="E147" s="120" t="s">
        <v>13</v>
      </c>
      <c r="F147" s="122">
        <v>136.6</v>
      </c>
      <c r="G147" s="187">
        <v>79</v>
      </c>
      <c r="H147" s="122">
        <f>2.23+2.3</f>
        <v>4.5299999999999994</v>
      </c>
      <c r="I147" s="122">
        <f t="shared" si="374"/>
        <v>136.65734177215191</v>
      </c>
      <c r="J147" s="244">
        <f t="shared" si="375"/>
        <v>10795.93</v>
      </c>
      <c r="K147" s="122" cm="1">
        <f t="array" ref="K147">_FV(C147,"Price")</f>
        <v>115.09</v>
      </c>
      <c r="L147" s="122">
        <f t="shared" si="376"/>
        <v>3.3699999999982708</v>
      </c>
      <c r="M147" s="126">
        <f t="shared" si="377"/>
        <v>3.1215467310350016E-4</v>
      </c>
      <c r="N147" s="123">
        <v>136.69999999999999</v>
      </c>
      <c r="O147" s="223">
        <v>44573</v>
      </c>
      <c r="P147" s="223">
        <v>44573</v>
      </c>
      <c r="Q147" s="237">
        <f>Table29[[#This Row],[Close Date]]-Table29[[#This Row],[Open Date]]</f>
        <v>0</v>
      </c>
      <c r="R147" s="178"/>
      <c r="T147" s="54"/>
      <c r="U147" s="135"/>
    </row>
    <row r="148" spans="2:21" x14ac:dyDescent="0.25">
      <c r="B148" s="221">
        <v>132</v>
      </c>
      <c r="C148" s="69" t="e" vm="16">
        <v>#VALUE!</v>
      </c>
      <c r="D148" s="69" t="s">
        <v>21</v>
      </c>
      <c r="E148" s="116" t="s">
        <v>13</v>
      </c>
      <c r="F148" s="173">
        <v>47.5</v>
      </c>
      <c r="G148" s="188">
        <v>136</v>
      </c>
      <c r="H148" s="173">
        <f>2.4+2.45</f>
        <v>4.8499999999999996</v>
      </c>
      <c r="I148" s="173">
        <f t="shared" ref="I148:I151" si="378">((F148*G148)+H148)/G148</f>
        <v>47.535661764705885</v>
      </c>
      <c r="J148" s="245">
        <f t="shared" ref="J148:J151" si="379">I148*G148</f>
        <v>6464.85</v>
      </c>
      <c r="K148" s="173" cm="1">
        <f t="array" ref="K148">_FV(C148,"Price")</f>
        <v>27.13</v>
      </c>
      <c r="L148" s="533">
        <f t="shared" ref="L148:L151" si="380">(N148-I148)*G148</f>
        <v>-10.290000000000305</v>
      </c>
      <c r="M148" s="117">
        <f t="shared" ref="M148:M151" si="381">L148/J148</f>
        <v>-1.5916842618158664E-3</v>
      </c>
      <c r="N148" s="173">
        <v>47.46</v>
      </c>
      <c r="O148" s="224">
        <v>44573</v>
      </c>
      <c r="P148" s="224">
        <v>44573</v>
      </c>
      <c r="Q148" s="238">
        <f>Table29[[#This Row],[Close Date]]-Table29[[#This Row],[Open Date]]</f>
        <v>0</v>
      </c>
      <c r="R148" s="178"/>
      <c r="T148" s="54"/>
      <c r="U148" s="135"/>
    </row>
    <row r="149" spans="2:21" x14ac:dyDescent="0.25">
      <c r="B149" s="220">
        <v>133</v>
      </c>
      <c r="C149" s="121" t="e" vm="40">
        <v>#VALUE!</v>
      </c>
      <c r="D149" s="121" t="s">
        <v>21</v>
      </c>
      <c r="E149" s="120" t="s">
        <v>13</v>
      </c>
      <c r="F149" s="122">
        <v>76.56</v>
      </c>
      <c r="G149" s="187">
        <v>169</v>
      </c>
      <c r="H149" s="122">
        <f>2.59+2.5</f>
        <v>5.09</v>
      </c>
      <c r="I149" s="122">
        <f t="shared" si="378"/>
        <v>76.590118343195272</v>
      </c>
      <c r="J149" s="244">
        <f t="shared" si="379"/>
        <v>12943.730000000001</v>
      </c>
      <c r="K149" s="122" cm="1">
        <f t="array" ref="K149">_FV(C149,"Price")</f>
        <v>59.77</v>
      </c>
      <c r="L149" s="122">
        <f t="shared" si="380"/>
        <v>18.569999999999567</v>
      </c>
      <c r="M149" s="126">
        <f t="shared" si="381"/>
        <v>1.4346714586907765E-3</v>
      </c>
      <c r="N149" s="123">
        <v>76.7</v>
      </c>
      <c r="O149" s="223">
        <v>44573</v>
      </c>
      <c r="P149" s="223">
        <v>44573</v>
      </c>
      <c r="Q149" s="237">
        <f>Table29[[#This Row],[Close Date]]-Table29[[#This Row],[Open Date]]</f>
        <v>0</v>
      </c>
      <c r="R149" s="178"/>
      <c r="T149" s="54"/>
      <c r="U149" s="135"/>
    </row>
    <row r="150" spans="2:21" x14ac:dyDescent="0.25">
      <c r="B150" s="220">
        <v>134</v>
      </c>
      <c r="C150" s="121" t="e" vm="70">
        <v>#VALUE!</v>
      </c>
      <c r="D150" s="121" t="s">
        <v>21</v>
      </c>
      <c r="E150" s="120" t="s">
        <v>13</v>
      </c>
      <c r="F150" s="122">
        <v>46.13</v>
      </c>
      <c r="G150" s="187">
        <v>140</v>
      </c>
      <c r="H150" s="122">
        <f>2.41+2.46</f>
        <v>4.87</v>
      </c>
      <c r="I150" s="122">
        <f t="shared" si="378"/>
        <v>46.164785714285721</v>
      </c>
      <c r="J150" s="244">
        <f t="shared" si="379"/>
        <v>6463.0700000000006</v>
      </c>
      <c r="K150" s="122" cm="1">
        <f t="array" ref="K150">_FV(C150,"Price")</f>
        <v>33.799999999999997</v>
      </c>
      <c r="L150" s="122">
        <f t="shared" si="380"/>
        <v>18.929999999998728</v>
      </c>
      <c r="M150" s="126">
        <f t="shared" si="381"/>
        <v>2.928948626581288E-3</v>
      </c>
      <c r="N150" s="123">
        <v>46.3</v>
      </c>
      <c r="O150" s="223">
        <v>44573</v>
      </c>
      <c r="P150" s="223">
        <v>44573</v>
      </c>
      <c r="Q150" s="237">
        <f>Table29[[#This Row],[Close Date]]-Table29[[#This Row],[Open Date]]</f>
        <v>0</v>
      </c>
      <c r="R150" s="178"/>
      <c r="T150" s="54"/>
      <c r="U150" s="135"/>
    </row>
    <row r="151" spans="2:21" x14ac:dyDescent="0.25">
      <c r="B151" s="221">
        <v>135</v>
      </c>
      <c r="C151" s="69" t="e" vm="29">
        <v>#VALUE!</v>
      </c>
      <c r="D151" s="69" t="s">
        <v>21</v>
      </c>
      <c r="E151" s="116" t="s">
        <v>13</v>
      </c>
      <c r="F151" s="173">
        <v>31.4</v>
      </c>
      <c r="G151" s="188">
        <v>340</v>
      </c>
      <c r="H151" s="173">
        <f>4.39+4.48</f>
        <v>8.870000000000001</v>
      </c>
      <c r="I151" s="173">
        <f t="shared" si="378"/>
        <v>31.42608823529412</v>
      </c>
      <c r="J151" s="245">
        <f t="shared" si="379"/>
        <v>10684.87</v>
      </c>
      <c r="K151" s="173" cm="1">
        <f t="array" ref="K151">_FV(C151,"Price")</f>
        <v>21.21</v>
      </c>
      <c r="L151" s="533">
        <f t="shared" si="380"/>
        <v>-42.87000000000063</v>
      </c>
      <c r="M151" s="117">
        <f t="shared" si="381"/>
        <v>-4.0122154036502673E-3</v>
      </c>
      <c r="N151" s="173">
        <v>31.3</v>
      </c>
      <c r="O151" s="224">
        <v>44573</v>
      </c>
      <c r="P151" s="224">
        <v>44573</v>
      </c>
      <c r="Q151" s="238">
        <f>Table29[[#This Row],[Close Date]]-Table29[[#This Row],[Open Date]]</f>
        <v>0</v>
      </c>
      <c r="R151" s="178"/>
      <c r="T151" s="54"/>
      <c r="U151" s="135"/>
    </row>
    <row r="152" spans="2:21" x14ac:dyDescent="0.25">
      <c r="B152" s="221">
        <v>136</v>
      </c>
      <c r="C152" s="69" t="e" vm="29">
        <v>#VALUE!</v>
      </c>
      <c r="D152" s="69" t="s">
        <v>21</v>
      </c>
      <c r="E152" s="116" t="s">
        <v>13</v>
      </c>
      <c r="F152" s="173">
        <v>31.5</v>
      </c>
      <c r="G152" s="188">
        <v>341</v>
      </c>
      <c r="H152" s="173">
        <f>4.4+4.49</f>
        <v>8.89</v>
      </c>
      <c r="I152" s="173">
        <f t="shared" ref="I152" si="382">((F152*G152)+H152)/G152</f>
        <v>31.526070381231669</v>
      </c>
      <c r="J152" s="245">
        <f t="shared" ref="J152" si="383">I152*G152</f>
        <v>10750.39</v>
      </c>
      <c r="K152" s="173" cm="1">
        <f t="array" ref="K152">_FV(C152,"Price")</f>
        <v>21.21</v>
      </c>
      <c r="L152" s="533">
        <f t="shared" ref="L152" si="384">(N152-I152)*G152</f>
        <v>-42.989999999999668</v>
      </c>
      <c r="M152" s="117">
        <f t="shared" ref="M152" si="385">L152/J152</f>
        <v>-3.9989246901740005E-3</v>
      </c>
      <c r="N152" s="173">
        <v>31.4</v>
      </c>
      <c r="O152" s="224">
        <v>44573</v>
      </c>
      <c r="P152" s="224">
        <v>44573</v>
      </c>
      <c r="Q152" s="238">
        <f>Table29[[#This Row],[Close Date]]-Table29[[#This Row],[Open Date]]</f>
        <v>0</v>
      </c>
      <c r="R152" s="178"/>
      <c r="T152" s="54"/>
      <c r="U152" s="135"/>
    </row>
    <row r="153" spans="2:21" x14ac:dyDescent="0.25">
      <c r="B153" s="221">
        <v>137</v>
      </c>
      <c r="C153" s="69" t="e" vm="29">
        <v>#VALUE!</v>
      </c>
      <c r="D153" s="69" t="s">
        <v>21</v>
      </c>
      <c r="E153" s="116" t="s">
        <v>13</v>
      </c>
      <c r="F153" s="173">
        <v>31.4</v>
      </c>
      <c r="G153" s="188">
        <v>339</v>
      </c>
      <c r="H153" s="173">
        <f>4.38+4.47</f>
        <v>8.85</v>
      </c>
      <c r="I153" s="173">
        <f t="shared" ref="I153:I154" si="386">((F153*G153)+H153)/G153</f>
        <v>31.426106194690266</v>
      </c>
      <c r="J153" s="245">
        <f t="shared" ref="J153:J154" si="387">I153*G153</f>
        <v>10653.45</v>
      </c>
      <c r="K153" s="173" cm="1">
        <f t="array" ref="K153">_FV(C153,"Price")</f>
        <v>21.21</v>
      </c>
      <c r="L153" s="533">
        <f t="shared" ref="L153:L154" si="388">(N153-I153)*G153</f>
        <v>-42.750000000000085</v>
      </c>
      <c r="M153" s="117">
        <f t="shared" ref="M153:M174" si="389">L153/J153</f>
        <v>-4.0127845909071784E-3</v>
      </c>
      <c r="N153" s="173">
        <v>31.3</v>
      </c>
      <c r="O153" s="224">
        <v>44573</v>
      </c>
      <c r="P153" s="224">
        <v>44573</v>
      </c>
      <c r="Q153" s="238">
        <f>Table29[[#This Row],[Close Date]]-Table29[[#This Row],[Open Date]]</f>
        <v>0</v>
      </c>
      <c r="R153" s="178"/>
      <c r="T153" s="54"/>
      <c r="U153" s="135"/>
    </row>
    <row r="154" spans="2:21" x14ac:dyDescent="0.25">
      <c r="B154" s="220">
        <v>138</v>
      </c>
      <c r="C154" s="121" t="e" vm="40">
        <v>#VALUE!</v>
      </c>
      <c r="D154" s="121" t="s">
        <v>21</v>
      </c>
      <c r="E154" s="120" t="s">
        <v>13</v>
      </c>
      <c r="F154" s="122">
        <v>76.2</v>
      </c>
      <c r="G154" s="187">
        <v>166</v>
      </c>
      <c r="H154" s="122">
        <f>2.57+2.49</f>
        <v>5.0600000000000005</v>
      </c>
      <c r="I154" s="122">
        <f t="shared" si="386"/>
        <v>76.230481927710841</v>
      </c>
      <c r="J154" s="244">
        <f t="shared" si="387"/>
        <v>12654.26</v>
      </c>
      <c r="K154" s="122" cm="1">
        <f t="array" ref="K154">_FV(C154,"Price")</f>
        <v>59.77</v>
      </c>
      <c r="L154" s="122">
        <f t="shared" si="388"/>
        <v>3.2400000000004354</v>
      </c>
      <c r="M154" s="126">
        <f t="shared" si="389"/>
        <v>2.56040258379426E-4</v>
      </c>
      <c r="N154" s="123">
        <v>76.25</v>
      </c>
      <c r="O154" s="223">
        <v>44573</v>
      </c>
      <c r="P154" s="223">
        <v>44573</v>
      </c>
      <c r="Q154" s="237">
        <f>Table29[[#This Row],[Close Date]]-Table29[[#This Row],[Open Date]]</f>
        <v>0</v>
      </c>
      <c r="R154" s="178"/>
      <c r="T154" s="54"/>
      <c r="U154" s="135"/>
    </row>
    <row r="155" spans="2:21" x14ac:dyDescent="0.25">
      <c r="B155" s="221">
        <v>139</v>
      </c>
      <c r="C155" s="69" t="e" vm="46">
        <v>#VALUE!</v>
      </c>
      <c r="D155" s="69" t="s">
        <v>67</v>
      </c>
      <c r="E155" s="116" t="s">
        <v>12</v>
      </c>
      <c r="F155" s="173">
        <f>(477+474+473.6)/3</f>
        <v>474.86666666666662</v>
      </c>
      <c r="G155" s="188">
        <v>300</v>
      </c>
      <c r="H155" s="173">
        <f>(1202+257+90)/7.8</f>
        <v>198.58974358974359</v>
      </c>
      <c r="I155" s="173">
        <f>((F155*G155)+H155*7.8)/G155</f>
        <v>480.02999999999992</v>
      </c>
      <c r="J155" s="245">
        <f>I155*G155/7.8</f>
        <v>18462.692307692305</v>
      </c>
      <c r="K155" s="173" cm="1">
        <f t="array" ref="K155">_FV(Table29[[#This Row],[Stock Name]],"Price")</f>
        <v>377.2</v>
      </c>
      <c r="L155" s="533">
        <f>(N155-I155)*G155/7.8</f>
        <v>-242.17948717948337</v>
      </c>
      <c r="M155" s="117">
        <f t="shared" si="389"/>
        <v>-1.3117235728322331E-2</v>
      </c>
      <c r="N155" s="173">
        <f>(473+475.4+472.8)/3</f>
        <v>473.73333333333335</v>
      </c>
      <c r="O155" s="224">
        <v>44574</v>
      </c>
      <c r="P155" s="224">
        <v>44574</v>
      </c>
      <c r="Q155" s="238">
        <f>Table29[[#This Row],[Close Date]]-Table29[[#This Row],[Open Date]]</f>
        <v>0</v>
      </c>
      <c r="R155" s="178"/>
      <c r="T155" s="54"/>
      <c r="U155" s="135"/>
    </row>
    <row r="156" spans="2:21" x14ac:dyDescent="0.25">
      <c r="B156" s="221">
        <v>140</v>
      </c>
      <c r="C156" s="69" t="e" vm="28">
        <v>#VALUE!</v>
      </c>
      <c r="D156" s="69" t="s">
        <v>21</v>
      </c>
      <c r="E156" s="116" t="s">
        <v>13</v>
      </c>
      <c r="F156" s="173">
        <v>283</v>
      </c>
      <c r="G156" s="188">
        <v>42</v>
      </c>
      <c r="H156" s="173">
        <f>2.12+2.19</f>
        <v>4.3100000000000005</v>
      </c>
      <c r="I156" s="173">
        <f t="shared" ref="I156" si="390">((F156*G156)+H156)/G156</f>
        <v>283.10261904761904</v>
      </c>
      <c r="J156" s="245">
        <f t="shared" ref="J156" si="391">I156*G156</f>
        <v>11890.31</v>
      </c>
      <c r="K156" s="173" cm="1">
        <f t="array" ref="K156">_FV(C156,"Price")</f>
        <v>282.19</v>
      </c>
      <c r="L156" s="533">
        <f t="shared" ref="L156" si="392">(N156-I156)*G156</f>
        <v>-63.109999999998877</v>
      </c>
      <c r="M156" s="117">
        <f t="shared" ref="M156" si="393">L156/J156</f>
        <v>-5.3076833152372717E-3</v>
      </c>
      <c r="N156" s="173">
        <v>281.60000000000002</v>
      </c>
      <c r="O156" s="224">
        <v>44574</v>
      </c>
      <c r="P156" s="224">
        <v>44574</v>
      </c>
      <c r="Q156" s="238">
        <f>Table29[[#This Row],[Close Date]]-Table29[[#This Row],[Open Date]]</f>
        <v>0</v>
      </c>
      <c r="R156" s="178"/>
      <c r="T156" s="54"/>
      <c r="U156" s="135"/>
    </row>
    <row r="157" spans="2:21" x14ac:dyDescent="0.25">
      <c r="B157" s="220">
        <v>141</v>
      </c>
      <c r="C157" s="121" t="e" vm="29">
        <v>#VALUE!</v>
      </c>
      <c r="D157" s="121" t="s">
        <v>21</v>
      </c>
      <c r="E157" s="120" t="s">
        <v>13</v>
      </c>
      <c r="F157" s="122">
        <v>31.25</v>
      </c>
      <c r="G157" s="187">
        <v>307</v>
      </c>
      <c r="H157" s="122">
        <f>3.96+4.05</f>
        <v>8.01</v>
      </c>
      <c r="I157" s="122">
        <f t="shared" ref="I157" si="394">((F157*G157)+H157)/G157</f>
        <v>31.276091205211728</v>
      </c>
      <c r="J157" s="244">
        <f t="shared" ref="J157" si="395">I157*G157</f>
        <v>9601.76</v>
      </c>
      <c r="K157" s="122" cm="1">
        <f t="array" ref="K157">_FV(C157,"Price")</f>
        <v>21.21</v>
      </c>
      <c r="L157" s="122">
        <f t="shared" ref="L157" si="396">(N157-I157)*G157</f>
        <v>4.2699999999993352</v>
      </c>
      <c r="M157" s="126">
        <f t="shared" ref="M157" si="397">L157/J157</f>
        <v>4.4471013647491033E-4</v>
      </c>
      <c r="N157" s="123">
        <v>31.29</v>
      </c>
      <c r="O157" s="223">
        <v>44574</v>
      </c>
      <c r="P157" s="223">
        <v>44574</v>
      </c>
      <c r="Q157" s="237">
        <f>Table29[[#This Row],[Close Date]]-Table29[[#This Row],[Open Date]]</f>
        <v>0</v>
      </c>
      <c r="R157" s="178"/>
      <c r="T157" s="54"/>
      <c r="U157" s="135"/>
    </row>
    <row r="158" spans="2:21" x14ac:dyDescent="0.25">
      <c r="B158" s="220">
        <v>142</v>
      </c>
      <c r="C158" s="121" t="e" vm="29">
        <v>#VALUE!</v>
      </c>
      <c r="D158" s="121" t="s">
        <v>21</v>
      </c>
      <c r="E158" s="120" t="s">
        <v>13</v>
      </c>
      <c r="F158" s="122">
        <v>31.2</v>
      </c>
      <c r="G158" s="187">
        <v>285</v>
      </c>
      <c r="H158" s="122">
        <f>3.77+3.69</f>
        <v>7.46</v>
      </c>
      <c r="I158" s="122">
        <f t="shared" ref="I158" si="398">((F158*G158)+H158)/G158</f>
        <v>31.226175438596488</v>
      </c>
      <c r="J158" s="244">
        <f t="shared" ref="J158" si="399">I158*G158</f>
        <v>8899.4599999999991</v>
      </c>
      <c r="K158" s="122" cm="1">
        <f t="array" ref="K158">_FV(C158,"Price")</f>
        <v>21.21</v>
      </c>
      <c r="L158" s="122">
        <f t="shared" ref="L158" si="400">(N158-I158)*G158</f>
        <v>21.040000000000987</v>
      </c>
      <c r="M158" s="126">
        <f t="shared" ref="M158" si="401">L158/J158</f>
        <v>2.3641883889585422E-3</v>
      </c>
      <c r="N158" s="123">
        <v>31.3</v>
      </c>
      <c r="O158" s="223">
        <v>44574</v>
      </c>
      <c r="P158" s="223">
        <v>44574</v>
      </c>
      <c r="Q158" s="237">
        <f>Table29[[#This Row],[Close Date]]-Table29[[#This Row],[Open Date]]</f>
        <v>0</v>
      </c>
      <c r="R158" s="178"/>
      <c r="T158" s="54"/>
      <c r="U158" s="135"/>
    </row>
    <row r="159" spans="2:21" x14ac:dyDescent="0.25">
      <c r="B159" s="220">
        <v>143</v>
      </c>
      <c r="C159" s="121" t="e" vm="70">
        <v>#VALUE!</v>
      </c>
      <c r="D159" s="121" t="s">
        <v>21</v>
      </c>
      <c r="E159" s="120" t="s">
        <v>13</v>
      </c>
      <c r="F159" s="122">
        <v>44.96</v>
      </c>
      <c r="G159" s="187">
        <v>277</v>
      </c>
      <c r="H159" s="122">
        <f>3.67+3.58</f>
        <v>7.25</v>
      </c>
      <c r="I159" s="122">
        <f t="shared" ref="I159" si="402">((F159*G159)+H159)/G159</f>
        <v>44.986173285198554</v>
      </c>
      <c r="J159" s="244">
        <f t="shared" ref="J159" si="403">I159*G159</f>
        <v>12461.17</v>
      </c>
      <c r="K159" s="122" cm="1">
        <f t="array" ref="K159">_FV(C159,"Price")</f>
        <v>33.799999999999997</v>
      </c>
      <c r="L159" s="122">
        <f t="shared" ref="L159" si="404">(N159-I159)*G159</f>
        <v>17.679999999999858</v>
      </c>
      <c r="M159" s="126">
        <f t="shared" ref="M159" si="405">L159/J159</f>
        <v>1.4188073832553329E-3</v>
      </c>
      <c r="N159" s="123">
        <v>45.05</v>
      </c>
      <c r="O159" s="223">
        <v>44574</v>
      </c>
      <c r="P159" s="223">
        <v>44574</v>
      </c>
      <c r="Q159" s="237">
        <f>Table29[[#This Row],[Close Date]]-Table29[[#This Row],[Open Date]]</f>
        <v>0</v>
      </c>
      <c r="R159" s="178"/>
      <c r="T159" s="54"/>
      <c r="U159" s="135"/>
    </row>
    <row r="160" spans="2:21" x14ac:dyDescent="0.25">
      <c r="B160" s="220">
        <v>144</v>
      </c>
      <c r="C160" s="121" t="e" vm="50">
        <v>#VALUE!</v>
      </c>
      <c r="D160" s="121" t="s">
        <v>21</v>
      </c>
      <c r="E160" s="120" t="s">
        <v>13</v>
      </c>
      <c r="F160" s="122">
        <v>58.98</v>
      </c>
      <c r="G160" s="187">
        <v>211</v>
      </c>
      <c r="H160" s="122">
        <f>2.81+2.72</f>
        <v>5.53</v>
      </c>
      <c r="I160" s="122">
        <f t="shared" ref="I160" si="406">((F160*G160)+H160)/G160</f>
        <v>59.006208530805687</v>
      </c>
      <c r="J160" s="244">
        <f t="shared" ref="J160" si="407">I160*G160</f>
        <v>12450.31</v>
      </c>
      <c r="K160" s="122" cm="1">
        <f t="array" ref="K160">_FV(C160,"Price")</f>
        <v>43.67</v>
      </c>
      <c r="L160" s="122">
        <f t="shared" ref="L160" si="408">(N160-I160)*G160</f>
        <v>40.890000000000747</v>
      </c>
      <c r="M160" s="126">
        <f t="shared" ref="M160" si="409">L160/J160</f>
        <v>3.2842555727528671E-3</v>
      </c>
      <c r="N160" s="123">
        <v>59.2</v>
      </c>
      <c r="O160" s="223">
        <v>44574</v>
      </c>
      <c r="P160" s="223">
        <v>44574</v>
      </c>
      <c r="Q160" s="237">
        <f>Table29[[#This Row],[Close Date]]-Table29[[#This Row],[Open Date]]</f>
        <v>0</v>
      </c>
      <c r="R160" s="178"/>
      <c r="T160" s="54"/>
      <c r="U160" s="135"/>
    </row>
    <row r="161" spans="2:21" x14ac:dyDescent="0.25">
      <c r="B161" s="221">
        <v>145</v>
      </c>
      <c r="C161" s="69" t="e" vm="70">
        <v>#VALUE!</v>
      </c>
      <c r="D161" s="69" t="s">
        <v>21</v>
      </c>
      <c r="E161" s="116" t="s">
        <v>13</v>
      </c>
      <c r="F161" s="173">
        <v>45.08</v>
      </c>
      <c r="G161" s="188">
        <v>138</v>
      </c>
      <c r="H161" s="173">
        <f>2.4+2.45</f>
        <v>4.8499999999999996</v>
      </c>
      <c r="I161" s="173">
        <f t="shared" ref="I161" si="410">((F161*G161)+H161)/G161</f>
        <v>45.115144927536235</v>
      </c>
      <c r="J161" s="245">
        <f t="shared" ref="J161" si="411">I161*G161</f>
        <v>6225.89</v>
      </c>
      <c r="K161" s="173" cm="1">
        <f t="array" ref="K161">_FV(C161,"Price")</f>
        <v>33.799999999999997</v>
      </c>
      <c r="L161" s="533">
        <f t="shared" ref="L161" si="412">(N161-I161)*G161</f>
        <v>-1.1240000000005637</v>
      </c>
      <c r="M161" s="117">
        <f t="shared" ref="M161" si="413">L161/J161</f>
        <v>-1.8053643736085339E-4</v>
      </c>
      <c r="N161" s="173">
        <v>45.106999999999999</v>
      </c>
      <c r="O161" s="224">
        <v>44574</v>
      </c>
      <c r="P161" s="224">
        <v>44574</v>
      </c>
      <c r="Q161" s="238">
        <f>Table29[[#This Row],[Close Date]]-Table29[[#This Row],[Open Date]]</f>
        <v>0</v>
      </c>
      <c r="R161" s="178"/>
      <c r="T161" s="54"/>
      <c r="U161" s="135"/>
    </row>
    <row r="162" spans="2:21" x14ac:dyDescent="0.25">
      <c r="B162" s="220">
        <v>146</v>
      </c>
      <c r="C162" s="121" t="e" vm="70">
        <v>#VALUE!</v>
      </c>
      <c r="D162" s="121" t="s">
        <v>21</v>
      </c>
      <c r="E162" s="120" t="s">
        <v>13</v>
      </c>
      <c r="F162" s="122">
        <v>45.1</v>
      </c>
      <c r="G162" s="187">
        <v>138</v>
      </c>
      <c r="H162" s="122">
        <f>2.4+2.45</f>
        <v>4.8499999999999996</v>
      </c>
      <c r="I162" s="122">
        <f t="shared" ref="I162" si="414">((F162*G162)+H162)/G162</f>
        <v>45.135144927536238</v>
      </c>
      <c r="J162" s="244">
        <f t="shared" ref="J162" si="415">I162*G162</f>
        <v>6228.6500000000005</v>
      </c>
      <c r="K162" s="122" cm="1">
        <f t="array" ref="K162">_FV(C162,"Price")</f>
        <v>33.799999999999997</v>
      </c>
      <c r="L162" s="122">
        <f t="shared" ref="L162" si="416">(N162-I162)*G162</f>
        <v>8.9499999999994913</v>
      </c>
      <c r="M162" s="126">
        <f t="shared" ref="M162" si="417">L162/J162</f>
        <v>1.4369084793654308E-3</v>
      </c>
      <c r="N162" s="123">
        <v>45.2</v>
      </c>
      <c r="O162" s="223">
        <v>44574</v>
      </c>
      <c r="P162" s="223">
        <v>44574</v>
      </c>
      <c r="Q162" s="237">
        <f>Table29[[#This Row],[Close Date]]-Table29[[#This Row],[Open Date]]</f>
        <v>0</v>
      </c>
      <c r="R162" s="178"/>
      <c r="T162" s="54"/>
      <c r="U162" s="135"/>
    </row>
    <row r="163" spans="2:21" x14ac:dyDescent="0.25">
      <c r="B163" s="221">
        <v>147</v>
      </c>
      <c r="C163" s="69" t="e" vm="29">
        <v>#VALUE!</v>
      </c>
      <c r="D163" s="69" t="s">
        <v>21</v>
      </c>
      <c r="E163" s="116" t="s">
        <v>13</v>
      </c>
      <c r="F163" s="173">
        <v>31.33</v>
      </c>
      <c r="G163" s="188">
        <v>285</v>
      </c>
      <c r="H163" s="173">
        <f>3.77+3.69</f>
        <v>7.46</v>
      </c>
      <c r="I163" s="173">
        <f t="shared" ref="I163" si="418">((F163*G163)+H163)/G163</f>
        <v>31.356175438596484</v>
      </c>
      <c r="J163" s="245">
        <f t="shared" ref="J163" si="419">I163*G163</f>
        <v>8936.5099999999984</v>
      </c>
      <c r="K163" s="173" cm="1">
        <f t="array" ref="K163">_FV(C163,"Price")</f>
        <v>21.21</v>
      </c>
      <c r="L163" s="533">
        <f t="shared" ref="L163" si="420">(N163-I163)*G163</f>
        <v>-16.009999999997717</v>
      </c>
      <c r="M163" s="117">
        <f t="shared" ref="M163" si="421">L163/J163</f>
        <v>-1.7915271174091139E-3</v>
      </c>
      <c r="N163" s="173">
        <v>31.3</v>
      </c>
      <c r="O163" s="224">
        <v>44574</v>
      </c>
      <c r="P163" s="224">
        <v>44574</v>
      </c>
      <c r="Q163" s="238">
        <f>Table29[[#This Row],[Close Date]]-Table29[[#This Row],[Open Date]]</f>
        <v>0</v>
      </c>
      <c r="R163" s="178"/>
      <c r="T163" s="54"/>
      <c r="U163" s="135"/>
    </row>
    <row r="164" spans="2:21" x14ac:dyDescent="0.25">
      <c r="B164" s="220">
        <v>148</v>
      </c>
      <c r="C164" s="121" t="e" vm="70">
        <v>#VALUE!</v>
      </c>
      <c r="D164" s="121" t="s">
        <v>21</v>
      </c>
      <c r="E164" s="120" t="s">
        <v>13</v>
      </c>
      <c r="F164" s="122">
        <v>45.1</v>
      </c>
      <c r="G164" s="187">
        <v>137</v>
      </c>
      <c r="H164" s="122">
        <f>2.4+2.45</f>
        <v>4.8499999999999996</v>
      </c>
      <c r="I164" s="122">
        <f t="shared" ref="I164" si="422">((F164*G164)+H164)/G164</f>
        <v>45.135401459854016</v>
      </c>
      <c r="J164" s="244">
        <f t="shared" ref="J164" si="423">I164*G164</f>
        <v>6183.55</v>
      </c>
      <c r="K164" s="122" cm="1">
        <f t="array" ref="K164">_FV(C164,"Price")</f>
        <v>33.799999999999997</v>
      </c>
      <c r="L164" s="122">
        <f t="shared" ref="L164" si="424">(N164-I164)*G164</f>
        <v>1.9999999999996021</v>
      </c>
      <c r="M164" s="126">
        <f t="shared" ref="M164" si="425">L164/J164</f>
        <v>3.2343880133573789E-4</v>
      </c>
      <c r="N164" s="123">
        <v>45.15</v>
      </c>
      <c r="O164" s="223">
        <v>44574</v>
      </c>
      <c r="P164" s="223">
        <v>44574</v>
      </c>
      <c r="Q164" s="237">
        <f>Table29[[#This Row],[Close Date]]-Table29[[#This Row],[Open Date]]</f>
        <v>0</v>
      </c>
      <c r="R164" s="178"/>
      <c r="T164" s="54"/>
      <c r="U164" s="135"/>
    </row>
    <row r="165" spans="2:21" x14ac:dyDescent="0.25">
      <c r="B165" s="220">
        <v>149</v>
      </c>
      <c r="C165" s="121" t="e" vm="70">
        <v>#VALUE!</v>
      </c>
      <c r="D165" s="121" t="s">
        <v>21</v>
      </c>
      <c r="E165" s="120" t="s">
        <v>13</v>
      </c>
      <c r="F165" s="122">
        <v>44.8</v>
      </c>
      <c r="G165" s="187">
        <v>277</v>
      </c>
      <c r="H165" s="122">
        <f>3.58+3.67</f>
        <v>7.25</v>
      </c>
      <c r="I165" s="122">
        <f t="shared" ref="I165" si="426">((F165*G165)+H165)/G165</f>
        <v>44.82617328519855</v>
      </c>
      <c r="J165" s="244">
        <f t="shared" ref="J165" si="427">I165*G165</f>
        <v>12416.849999999999</v>
      </c>
      <c r="K165" s="122" cm="1">
        <f t="array" ref="K165">_FV(C165,"Price")</f>
        <v>33.799999999999997</v>
      </c>
      <c r="L165" s="122">
        <f t="shared" ref="L165" si="428">(N165-I165)*G165</f>
        <v>14.910000000002377</v>
      </c>
      <c r="M165" s="126">
        <f t="shared" ref="M165" si="429">L165/J165</f>
        <v>1.2007876393773282E-3</v>
      </c>
      <c r="N165" s="123">
        <v>44.88</v>
      </c>
      <c r="O165" s="223">
        <v>44574</v>
      </c>
      <c r="P165" s="223">
        <v>44574</v>
      </c>
      <c r="Q165" s="237">
        <f>Table29[[#This Row],[Close Date]]-Table29[[#This Row],[Open Date]]</f>
        <v>0</v>
      </c>
      <c r="R165" s="178"/>
      <c r="T165" s="54"/>
      <c r="U165" s="135"/>
    </row>
    <row r="166" spans="2:21" x14ac:dyDescent="0.25">
      <c r="B166" s="221">
        <v>150</v>
      </c>
      <c r="C166" s="69" t="e" vm="29">
        <v>#VALUE!</v>
      </c>
      <c r="D166" s="69" t="s">
        <v>21</v>
      </c>
      <c r="E166" s="116" t="s">
        <v>13</v>
      </c>
      <c r="F166" s="173">
        <v>31.18</v>
      </c>
      <c r="G166" s="188">
        <v>284</v>
      </c>
      <c r="H166" s="173">
        <f>3.66+3.74</f>
        <v>7.4</v>
      </c>
      <c r="I166" s="173">
        <f t="shared" ref="I166" si="430">((F166*G166)+H166)/G166</f>
        <v>31.206056338028169</v>
      </c>
      <c r="J166" s="245">
        <f t="shared" ref="J166" si="431">I166*G166</f>
        <v>8862.52</v>
      </c>
      <c r="K166" s="173" cm="1">
        <f t="array" ref="K166">_FV(C166,"Price")</f>
        <v>21.21</v>
      </c>
      <c r="L166" s="533">
        <f t="shared" ref="L166" si="432">(N166-I166)*G166</f>
        <v>-1.7200000000002689</v>
      </c>
      <c r="M166" s="117">
        <f t="shared" ref="M166" si="433">L166/J166</f>
        <v>-1.9407572564014171E-4</v>
      </c>
      <c r="N166" s="173">
        <v>31.2</v>
      </c>
      <c r="O166" s="224">
        <v>44574</v>
      </c>
      <c r="P166" s="224">
        <v>44574</v>
      </c>
      <c r="Q166" s="238">
        <f>Table29[[#This Row],[Close Date]]-Table29[[#This Row],[Open Date]]</f>
        <v>0</v>
      </c>
      <c r="R166" s="178"/>
      <c r="T166" s="54"/>
      <c r="U166" s="135"/>
    </row>
    <row r="167" spans="2:21" x14ac:dyDescent="0.25">
      <c r="B167" s="221">
        <v>151</v>
      </c>
      <c r="C167" s="69" t="e" vm="71">
        <v>#VALUE!</v>
      </c>
      <c r="D167" s="69" t="s">
        <v>21</v>
      </c>
      <c r="E167" s="116" t="s">
        <v>13</v>
      </c>
      <c r="F167" s="173">
        <v>275.5</v>
      </c>
      <c r="G167" s="188">
        <v>45</v>
      </c>
      <c r="H167" s="173">
        <f>2.13+2.2</f>
        <v>4.33</v>
      </c>
      <c r="I167" s="173">
        <f t="shared" ref="I167" si="434">((F167*G167)+H167)/G167</f>
        <v>275.5962222222222</v>
      </c>
      <c r="J167" s="245">
        <f t="shared" ref="J167" si="435">I167*G167</f>
        <v>12401.829999999998</v>
      </c>
      <c r="K167" s="173" cm="1">
        <f t="array" ref="K167">_FV(C167,"Price")</f>
        <v>282.19</v>
      </c>
      <c r="L167" s="533">
        <f t="shared" ref="L167" si="436">(N167-I167)*G167</f>
        <v>-116.82999999999879</v>
      </c>
      <c r="M167" s="117">
        <f t="shared" ref="M167" si="437">L167/J167</f>
        <v>-9.420383927210646E-3</v>
      </c>
      <c r="N167" s="173">
        <v>273</v>
      </c>
      <c r="O167" s="224">
        <v>44574</v>
      </c>
      <c r="P167" s="224">
        <v>44574</v>
      </c>
      <c r="Q167" s="238">
        <f>Table29[[#This Row],[Close Date]]-Table29[[#This Row],[Open Date]]</f>
        <v>0</v>
      </c>
      <c r="R167" s="178"/>
      <c r="T167" s="54"/>
      <c r="U167" s="135"/>
    </row>
    <row r="168" spans="2:21" x14ac:dyDescent="0.25">
      <c r="B168" s="221">
        <v>152</v>
      </c>
      <c r="C168" s="69" t="e" vm="70">
        <v>#VALUE!</v>
      </c>
      <c r="D168" s="69" t="s">
        <v>21</v>
      </c>
      <c r="E168" s="116" t="s">
        <v>13</v>
      </c>
      <c r="F168" s="173">
        <v>44.38</v>
      </c>
      <c r="G168" s="188">
        <v>273</v>
      </c>
      <c r="H168" s="173">
        <f>3.53+3.62</f>
        <v>7.15</v>
      </c>
      <c r="I168" s="173">
        <f t="shared" ref="I168" si="438">((F168*G168)+H168)/G168</f>
        <v>44.406190476190481</v>
      </c>
      <c r="J168" s="245">
        <f t="shared" ref="J168" si="439">I168*G168</f>
        <v>12122.890000000001</v>
      </c>
      <c r="K168" s="173" cm="1">
        <f t="array" ref="K168">_FV(C168,"Price")</f>
        <v>33.799999999999997</v>
      </c>
      <c r="L168" s="533">
        <f t="shared" ref="L168" si="440">(N168-I168)*G168</f>
        <v>-130.00000000000148</v>
      </c>
      <c r="M168" s="117">
        <f t="shared" ref="M168" si="441">L168/J168</f>
        <v>-1.0723515597353557E-2</v>
      </c>
      <c r="N168" s="173">
        <v>43.93</v>
      </c>
      <c r="O168" s="224">
        <v>44574</v>
      </c>
      <c r="P168" s="224">
        <v>44574</v>
      </c>
      <c r="Q168" s="238">
        <f>Table29[[#This Row],[Close Date]]-Table29[[#This Row],[Open Date]]</f>
        <v>0</v>
      </c>
      <c r="R168" s="178"/>
      <c r="T168" s="54"/>
      <c r="U168" s="135"/>
    </row>
    <row r="169" spans="2:21" x14ac:dyDescent="0.25">
      <c r="B169" s="220">
        <v>153</v>
      </c>
      <c r="C169" s="121" t="e" vm="16">
        <v>#VALUE!</v>
      </c>
      <c r="D169" s="121" t="s">
        <v>21</v>
      </c>
      <c r="E169" s="120" t="s">
        <v>13</v>
      </c>
      <c r="F169" s="122">
        <v>48.46</v>
      </c>
      <c r="G169" s="187">
        <v>122</v>
      </c>
      <c r="H169" s="122">
        <f>2.36+2.4</f>
        <v>4.76</v>
      </c>
      <c r="I169" s="122">
        <f t="shared" ref="I169" si="442">((F169*G169)+H169)/G169</f>
        <v>48.499016393442623</v>
      </c>
      <c r="J169" s="244">
        <f t="shared" ref="J169" si="443">I169*G169</f>
        <v>5916.88</v>
      </c>
      <c r="K169" s="122" cm="1">
        <f t="array" ref="K169">_FV(C169,"Price")</f>
        <v>27.13</v>
      </c>
      <c r="L169" s="122">
        <f t="shared" ref="L169" si="444">(N169-I169)*G169</f>
        <v>7.4400000000002109</v>
      </c>
      <c r="M169" s="126">
        <f t="shared" ref="M169" si="445">L169/J169</f>
        <v>1.257419450791669E-3</v>
      </c>
      <c r="N169" s="123">
        <v>48.56</v>
      </c>
      <c r="O169" s="223">
        <v>44574</v>
      </c>
      <c r="P169" s="223">
        <v>44574</v>
      </c>
      <c r="Q169" s="237">
        <f>Table29[[#This Row],[Close Date]]-Table29[[#This Row],[Open Date]]</f>
        <v>0</v>
      </c>
      <c r="R169" s="178"/>
      <c r="T169" s="54"/>
      <c r="U169" s="135"/>
    </row>
    <row r="170" spans="2:21" x14ac:dyDescent="0.25">
      <c r="B170" s="220">
        <v>154</v>
      </c>
      <c r="C170" s="121" t="e" vm="50">
        <v>#VALUE!</v>
      </c>
      <c r="D170" s="121" t="s">
        <v>21</v>
      </c>
      <c r="E170" s="120" t="s">
        <v>13</v>
      </c>
      <c r="F170" s="122">
        <v>58.7</v>
      </c>
      <c r="G170" s="187">
        <v>201</v>
      </c>
      <c r="H170" s="122">
        <f>2.6+2.68</f>
        <v>5.28</v>
      </c>
      <c r="I170" s="122">
        <f t="shared" ref="I170" si="446">((F170*G170)+H170)/G170</f>
        <v>58.726268656716428</v>
      </c>
      <c r="J170" s="244">
        <f t="shared" ref="J170" si="447">I170*G170</f>
        <v>11803.980000000001</v>
      </c>
      <c r="K170" s="122" cm="1">
        <f t="array" ref="K170">_FV(C170,"Price")</f>
        <v>43.67</v>
      </c>
      <c r="L170" s="122">
        <f t="shared" ref="L170" si="448">(N170-I170)*G170</f>
        <v>34.919999999997678</v>
      </c>
      <c r="M170" s="126">
        <f t="shared" ref="M170" si="449">L170/J170</f>
        <v>2.9583242262353608E-3</v>
      </c>
      <c r="N170" s="123">
        <v>58.9</v>
      </c>
      <c r="O170" s="223">
        <v>44574</v>
      </c>
      <c r="P170" s="223">
        <v>44574</v>
      </c>
      <c r="Q170" s="237">
        <f>Table29[[#This Row],[Close Date]]-Table29[[#This Row],[Open Date]]</f>
        <v>0</v>
      </c>
      <c r="R170" s="178"/>
      <c r="T170" s="54"/>
      <c r="U170" s="135"/>
    </row>
    <row r="171" spans="2:21" x14ac:dyDescent="0.25">
      <c r="B171" s="221">
        <v>155</v>
      </c>
      <c r="C171" s="69" t="e" vm="16">
        <v>#VALUE!</v>
      </c>
      <c r="D171" s="69" t="s">
        <v>21</v>
      </c>
      <c r="E171" s="116" t="s">
        <v>13</v>
      </c>
      <c r="F171" s="173">
        <v>48.8</v>
      </c>
      <c r="G171" s="188">
        <v>122</v>
      </c>
      <c r="H171" s="173">
        <f>2.36+2.4</f>
        <v>4.76</v>
      </c>
      <c r="I171" s="173">
        <f t="shared" ref="I171" si="450">((F171*G171)+H171)/G171</f>
        <v>48.83901639344262</v>
      </c>
      <c r="J171" s="245">
        <f t="shared" ref="J171" si="451">I171*G171</f>
        <v>5958.36</v>
      </c>
      <c r="K171" s="173" cm="1">
        <f t="array" ref="K171">_FV(C171,"Price")</f>
        <v>27.13</v>
      </c>
      <c r="L171" s="533">
        <f t="shared" ref="L171" si="452">(N171-I171)*G171</f>
        <v>-16.959999999999269</v>
      </c>
      <c r="M171" s="117">
        <f t="shared" ref="M171" si="453">L171/J171</f>
        <v>-2.8464208272073639E-3</v>
      </c>
      <c r="N171" s="173">
        <v>48.7</v>
      </c>
      <c r="O171" s="224">
        <v>44574</v>
      </c>
      <c r="P171" s="224">
        <v>44574</v>
      </c>
      <c r="Q171" s="238">
        <f>Table29[[#This Row],[Close Date]]-Table29[[#This Row],[Open Date]]</f>
        <v>0</v>
      </c>
      <c r="R171" s="178"/>
      <c r="T171" s="54"/>
      <c r="U171" s="135"/>
    </row>
    <row r="172" spans="2:21" x14ac:dyDescent="0.25">
      <c r="B172" s="220">
        <v>156</v>
      </c>
      <c r="C172" s="121" t="e" vm="16">
        <v>#VALUE!</v>
      </c>
      <c r="D172" s="121" t="s">
        <v>21</v>
      </c>
      <c r="E172" s="120" t="s">
        <v>13</v>
      </c>
      <c r="F172" s="122">
        <v>48.87</v>
      </c>
      <c r="G172" s="187">
        <v>120</v>
      </c>
      <c r="H172" s="122">
        <f>2.35+2.39</f>
        <v>4.74</v>
      </c>
      <c r="I172" s="122">
        <f t="shared" ref="I172" si="454">((F172*G172)+H172)/G172</f>
        <v>48.909499999999994</v>
      </c>
      <c r="J172" s="244">
        <f t="shared" ref="J172" si="455">I172*G172</f>
        <v>5869.1399999999994</v>
      </c>
      <c r="K172" s="122" cm="1">
        <f t="array" ref="K172">_FV(C172,"Price")</f>
        <v>27.13</v>
      </c>
      <c r="L172" s="122">
        <f t="shared" ref="L172" si="456">(N172-I172)*G172</f>
        <v>22.860000000000866</v>
      </c>
      <c r="M172" s="126">
        <f t="shared" ref="M172" si="457">L172/J172</f>
        <v>3.8949488340712384E-3</v>
      </c>
      <c r="N172" s="123">
        <v>49.1</v>
      </c>
      <c r="O172" s="223">
        <v>44574</v>
      </c>
      <c r="P172" s="223">
        <v>44574</v>
      </c>
      <c r="Q172" s="237">
        <f>Table29[[#This Row],[Close Date]]-Table29[[#This Row],[Open Date]]</f>
        <v>0</v>
      </c>
      <c r="R172" s="178"/>
      <c r="T172" s="54"/>
      <c r="U172" s="135"/>
    </row>
    <row r="173" spans="2:21" x14ac:dyDescent="0.25">
      <c r="B173" s="220">
        <v>157</v>
      </c>
      <c r="C173" s="121" t="e" vm="14">
        <v>#VALUE!</v>
      </c>
      <c r="D173" s="121" t="s">
        <v>21</v>
      </c>
      <c r="E173" s="120" t="s">
        <v>13</v>
      </c>
      <c r="F173" s="122">
        <v>132.74</v>
      </c>
      <c r="G173" s="187">
        <v>89</v>
      </c>
      <c r="H173" s="122">
        <f>2.26+2.33</f>
        <v>4.59</v>
      </c>
      <c r="I173" s="122">
        <f t="shared" ref="I173" si="458">((F173*G173)+H173)/G173</f>
        <v>132.79157303370786</v>
      </c>
      <c r="J173" s="244">
        <f t="shared" ref="J173" si="459">I173*G173</f>
        <v>11818.449999999999</v>
      </c>
      <c r="K173" s="122" cm="1">
        <f t="array" ref="K173">_FV(C173,"Price")</f>
        <v>115.09</v>
      </c>
      <c r="L173" s="122">
        <f t="shared" ref="L173" si="460">(N173-I173)*G173</f>
        <v>0.75000000000122213</v>
      </c>
      <c r="M173" s="126">
        <f t="shared" ref="M173" si="461">L173/J173</f>
        <v>6.3460098405562676E-5</v>
      </c>
      <c r="N173" s="123">
        <v>132.80000000000001</v>
      </c>
      <c r="O173" s="223">
        <v>44574</v>
      </c>
      <c r="P173" s="223">
        <v>44574</v>
      </c>
      <c r="Q173" s="237">
        <f>Table29[[#This Row],[Close Date]]-Table29[[#This Row],[Open Date]]</f>
        <v>0</v>
      </c>
      <c r="R173" s="178"/>
      <c r="T173" s="54"/>
      <c r="U173" s="135"/>
    </row>
    <row r="174" spans="2:21" x14ac:dyDescent="0.25">
      <c r="B174" s="220">
        <v>158</v>
      </c>
      <c r="C174" s="121" t="e" vm="28">
        <v>#VALUE!</v>
      </c>
      <c r="D174" s="121" t="s">
        <v>21</v>
      </c>
      <c r="E174" s="120" t="s">
        <v>13</v>
      </c>
      <c r="F174" s="122">
        <v>270</v>
      </c>
      <c r="G174" s="187">
        <v>43</v>
      </c>
      <c r="H174" s="122">
        <f>2.12+2.06+2.13</f>
        <v>6.31</v>
      </c>
      <c r="I174" s="122">
        <f t="shared" ref="I174" si="462">((F174*G174)+H174)/G174</f>
        <v>270.14674418604648</v>
      </c>
      <c r="J174" s="244">
        <f t="shared" ref="J174" si="463">I174*G174</f>
        <v>11616.309999999998</v>
      </c>
      <c r="K174" s="122" cm="1">
        <f t="array" ref="K174">_FV(C174,"Price")</f>
        <v>282.19</v>
      </c>
      <c r="L174" s="122">
        <f t="shared" ref="L174" si="464">(N174-I174)*G174</f>
        <v>36.690000000001532</v>
      </c>
      <c r="M174" s="126">
        <f t="shared" si="389"/>
        <v>3.1584900885050018E-3</v>
      </c>
      <c r="N174" s="123">
        <v>271</v>
      </c>
      <c r="O174" s="223">
        <v>44574</v>
      </c>
      <c r="P174" s="223">
        <v>44575</v>
      </c>
      <c r="Q174" s="237">
        <f>Table29[[#This Row],[Close Date]]-Table29[[#This Row],[Open Date]]</f>
        <v>1</v>
      </c>
      <c r="R174" s="178"/>
      <c r="T174" s="54"/>
      <c r="U174" s="135"/>
    </row>
    <row r="175" spans="2:21" x14ac:dyDescent="0.25">
      <c r="B175" s="220">
        <v>159</v>
      </c>
      <c r="C175" s="121" t="e" vm="74">
        <v>#VALUE!</v>
      </c>
      <c r="D175" s="121" t="s">
        <v>21</v>
      </c>
      <c r="E175" s="120" t="s">
        <v>13</v>
      </c>
      <c r="F175" s="122">
        <v>597.04</v>
      </c>
      <c r="G175" s="187">
        <v>17</v>
      </c>
      <c r="H175" s="122">
        <f>2.1+2.04</f>
        <v>4.1400000000000006</v>
      </c>
      <c r="I175" s="122">
        <f t="shared" ref="I175" si="465">((F175*G175)+H175)/G175</f>
        <v>597.28352941176468</v>
      </c>
      <c r="J175" s="244">
        <f t="shared" ref="J175" si="466">I175*G175</f>
        <v>10153.82</v>
      </c>
      <c r="K175" s="122" cm="1">
        <f t="array" ref="K175">_FV(C175,"Price")</f>
        <v>632.88</v>
      </c>
      <c r="L175" s="122">
        <f t="shared" ref="L175" si="467">(N175-I175)*G175</f>
        <v>46.180000000000518</v>
      </c>
      <c r="M175" s="126">
        <f t="shared" ref="M175" si="468">L175/J175</f>
        <v>4.5480420176840361E-3</v>
      </c>
      <c r="N175" s="123">
        <v>600</v>
      </c>
      <c r="O175" s="223">
        <v>44575</v>
      </c>
      <c r="P175" s="223">
        <v>44575</v>
      </c>
      <c r="Q175" s="237">
        <f>Table29[[#This Row],[Close Date]]-Table29[[#This Row],[Open Date]]</f>
        <v>0</v>
      </c>
      <c r="R175" s="178"/>
      <c r="T175" s="54"/>
      <c r="U175" s="135"/>
    </row>
    <row r="176" spans="2:21" x14ac:dyDescent="0.25">
      <c r="B176" s="220">
        <v>160</v>
      </c>
      <c r="C176" s="121" t="e" vm="6">
        <v>#VALUE!</v>
      </c>
      <c r="D176" s="121" t="s">
        <v>21</v>
      </c>
      <c r="E176" s="120" t="s">
        <v>13</v>
      </c>
      <c r="F176" s="122">
        <v>188.5</v>
      </c>
      <c r="G176" s="187">
        <v>54</v>
      </c>
      <c r="H176" s="122">
        <f>2.21+2.15</f>
        <v>4.3599999999999994</v>
      </c>
      <c r="I176" s="122">
        <f t="shared" ref="I176:I177" si="469">((F176*G176)+H176)/G176</f>
        <v>188.58074074074077</v>
      </c>
      <c r="J176" s="244">
        <f t="shared" ref="J176:J177" si="470">I176*G176</f>
        <v>10183.36</v>
      </c>
      <c r="K176" s="122" cm="1">
        <f t="array" ref="K176">_FV(C176,"Price")</f>
        <v>158.44999999999999</v>
      </c>
      <c r="L176" s="122">
        <f t="shared" ref="L176:L177" si="471">(N176-I176)*G176</f>
        <v>22.639999999998679</v>
      </c>
      <c r="M176" s="126">
        <f t="shared" ref="M176:M177" si="472">L176/J176</f>
        <v>2.2232347673065353E-3</v>
      </c>
      <c r="N176" s="123">
        <v>189</v>
      </c>
      <c r="O176" s="223">
        <v>44575</v>
      </c>
      <c r="P176" s="223">
        <v>44575</v>
      </c>
      <c r="Q176" s="237">
        <f>Table29[[#This Row],[Close Date]]-Table29[[#This Row],[Open Date]]</f>
        <v>0</v>
      </c>
      <c r="R176" s="178"/>
      <c r="T176" s="54"/>
      <c r="U176" s="135"/>
    </row>
    <row r="177" spans="2:21" x14ac:dyDescent="0.25">
      <c r="B177" s="220">
        <v>161</v>
      </c>
      <c r="C177" s="121" t="e" vm="14">
        <v>#VALUE!</v>
      </c>
      <c r="D177" s="121" t="s">
        <v>21</v>
      </c>
      <c r="E177" s="120" t="s">
        <v>13</v>
      </c>
      <c r="F177" s="122">
        <v>130.43</v>
      </c>
      <c r="G177" s="187">
        <v>95</v>
      </c>
      <c r="H177" s="122">
        <f>2.28+2.21+2.15</f>
        <v>6.6400000000000006</v>
      </c>
      <c r="I177" s="122">
        <f t="shared" si="469"/>
        <v>130.49989473684209</v>
      </c>
      <c r="J177" s="244">
        <f t="shared" si="470"/>
        <v>12397.49</v>
      </c>
      <c r="K177" s="122" cm="1">
        <f t="array" ref="K177">_FV(C177,"Price")</f>
        <v>115.09</v>
      </c>
      <c r="L177" s="122">
        <f t="shared" si="471"/>
        <v>28.510000000002123</v>
      </c>
      <c r="M177" s="126">
        <f t="shared" si="472"/>
        <v>2.2996590438872809E-3</v>
      </c>
      <c r="N177" s="123">
        <v>130.80000000000001</v>
      </c>
      <c r="O177" s="223">
        <v>44575</v>
      </c>
      <c r="P177" s="223">
        <v>44575</v>
      </c>
      <c r="Q177" s="237">
        <f>Table29[[#This Row],[Close Date]]-Table29[[#This Row],[Open Date]]</f>
        <v>0</v>
      </c>
      <c r="R177" s="178"/>
      <c r="T177" s="54"/>
      <c r="U177" s="135"/>
    </row>
    <row r="178" spans="2:21" x14ac:dyDescent="0.25">
      <c r="B178" s="220">
        <v>162</v>
      </c>
      <c r="C178" s="121" t="e" vm="75">
        <v>#VALUE!</v>
      </c>
      <c r="D178" s="121" t="s">
        <v>21</v>
      </c>
      <c r="E178" s="120" t="s">
        <v>13</v>
      </c>
      <c r="F178" s="122">
        <v>162</v>
      </c>
      <c r="G178" s="187">
        <v>33</v>
      </c>
      <c r="H178" s="122">
        <f>2.1+2.03+2.09</f>
        <v>6.22</v>
      </c>
      <c r="I178" s="122">
        <f t="shared" ref="I178" si="473">((F178*G178)+H178)/G178</f>
        <v>162.18848484848485</v>
      </c>
      <c r="J178" s="244">
        <f t="shared" ref="J178" si="474">I178*G178</f>
        <v>5352.22</v>
      </c>
      <c r="K178" s="122" cm="1">
        <f t="array" ref="K178">_FV(C178,"Price")</f>
        <v>137.66</v>
      </c>
      <c r="L178" s="122">
        <f t="shared" ref="L178" si="475">(N178-I178)*G178</f>
        <v>67.039999999999992</v>
      </c>
      <c r="M178" s="126">
        <f t="shared" ref="M178" si="476">L178/J178</f>
        <v>1.2525643564726411E-2</v>
      </c>
      <c r="N178" s="123">
        <f>(164.01*26+165*7)/33</f>
        <v>164.22</v>
      </c>
      <c r="O178" s="223">
        <v>44579</v>
      </c>
      <c r="P178" s="223">
        <v>44579</v>
      </c>
      <c r="Q178" s="237">
        <f>Table29[[#This Row],[Close Date]]-Table29[[#This Row],[Open Date]]</f>
        <v>0</v>
      </c>
      <c r="R178" s="178"/>
      <c r="S178" s="290"/>
      <c r="T178" s="54"/>
      <c r="U178" s="135"/>
    </row>
    <row r="179" spans="2:21" x14ac:dyDescent="0.25">
      <c r="B179" s="220">
        <v>163</v>
      </c>
      <c r="C179" s="121" t="e" vm="53">
        <v>#VALUE!</v>
      </c>
      <c r="D179" s="121" t="s">
        <v>21</v>
      </c>
      <c r="E179" s="120" t="s">
        <v>13</v>
      </c>
      <c r="F179" s="122">
        <v>2726</v>
      </c>
      <c r="G179" s="187">
        <v>4</v>
      </c>
      <c r="H179" s="122">
        <f>2+2.07</f>
        <v>4.07</v>
      </c>
      <c r="I179" s="122">
        <f t="shared" ref="I179:I180" si="477">((F179*G179)+H179)/G179</f>
        <v>2727.0174999999999</v>
      </c>
      <c r="J179" s="244">
        <f t="shared" ref="J179:J180" si="478">I179*G179</f>
        <v>10908.07</v>
      </c>
      <c r="K179" s="122" cm="1">
        <f t="array" ref="K179">_FV(C179,"Price")</f>
        <v>2839</v>
      </c>
      <c r="L179" s="122">
        <f t="shared" ref="L179:L180" si="479">(N179-I179)*G179</f>
        <v>32.930000000000291</v>
      </c>
      <c r="M179" s="126">
        <f t="shared" ref="M179:M180" si="480">L179/J179</f>
        <v>3.0188658488623826E-3</v>
      </c>
      <c r="N179" s="123">
        <v>2735.25</v>
      </c>
      <c r="O179" s="223">
        <v>44579</v>
      </c>
      <c r="P179" s="223">
        <v>44579</v>
      </c>
      <c r="Q179" s="237">
        <f>Table29[[#This Row],[Close Date]]-Table29[[#This Row],[Open Date]]</f>
        <v>0</v>
      </c>
      <c r="R179" s="178"/>
      <c r="T179" s="54"/>
      <c r="U179" s="135"/>
    </row>
    <row r="180" spans="2:21" x14ac:dyDescent="0.25">
      <c r="B180" s="220">
        <v>164</v>
      </c>
      <c r="C180" s="121" t="e" vm="23">
        <v>#VALUE!</v>
      </c>
      <c r="D180" s="121" t="s">
        <v>21</v>
      </c>
      <c r="E180" s="120" t="s">
        <v>13</v>
      </c>
      <c r="F180" s="122">
        <v>139.5</v>
      </c>
      <c r="G180" s="187">
        <v>75</v>
      </c>
      <c r="H180" s="122">
        <f>2.28+2.22</f>
        <v>4.5</v>
      </c>
      <c r="I180" s="122">
        <f t="shared" si="477"/>
        <v>139.56</v>
      </c>
      <c r="J180" s="244">
        <f t="shared" si="478"/>
        <v>10467</v>
      </c>
      <c r="K180" s="122" cm="1">
        <f t="array" ref="K180">_FV(C180,"Price")</f>
        <v>128.04</v>
      </c>
      <c r="L180" s="122">
        <f t="shared" si="479"/>
        <v>32.999999999999829</v>
      </c>
      <c r="M180" s="126">
        <f t="shared" si="480"/>
        <v>3.1527658354829303E-3</v>
      </c>
      <c r="N180" s="123">
        <v>140</v>
      </c>
      <c r="O180" s="223">
        <v>44579</v>
      </c>
      <c r="P180" s="223">
        <v>44579</v>
      </c>
      <c r="Q180" s="237">
        <f>Table29[[#This Row],[Close Date]]-Table29[[#This Row],[Open Date]]</f>
        <v>0</v>
      </c>
      <c r="R180" s="178"/>
      <c r="T180" s="54"/>
      <c r="U180" s="135"/>
    </row>
    <row r="181" spans="2:21" x14ac:dyDescent="0.25">
      <c r="B181" s="220">
        <v>165</v>
      </c>
      <c r="C181" s="121" t="e" vm="53">
        <v>#VALUE!</v>
      </c>
      <c r="D181" s="121" t="s">
        <v>21</v>
      </c>
      <c r="E181" s="120" t="s">
        <v>13</v>
      </c>
      <c r="F181" s="122">
        <v>2720</v>
      </c>
      <c r="G181" s="187">
        <v>4</v>
      </c>
      <c r="H181" s="122">
        <f>2+2.07</f>
        <v>4.07</v>
      </c>
      <c r="I181" s="122">
        <f t="shared" ref="I181" si="481">((F181*G181)+H181)/G181</f>
        <v>2721.0174999999999</v>
      </c>
      <c r="J181" s="244">
        <f t="shared" ref="J181" si="482">I181*G181</f>
        <v>10884.07</v>
      </c>
      <c r="K181" s="122" cm="1">
        <f t="array" ref="K181">_FV(C181,"Price")</f>
        <v>2839</v>
      </c>
      <c r="L181" s="122">
        <f t="shared" ref="L181" si="483">(N181-I181)*G181</f>
        <v>8.4099999999998545</v>
      </c>
      <c r="M181" s="126">
        <f t="shared" ref="M181" si="484">L181/J181</f>
        <v>7.7268889303356691E-4</v>
      </c>
      <c r="N181" s="123">
        <v>2723.12</v>
      </c>
      <c r="O181" s="223">
        <v>44579</v>
      </c>
      <c r="P181" s="223">
        <v>44579</v>
      </c>
      <c r="Q181" s="237">
        <f>Table29[[#This Row],[Close Date]]-Table29[[#This Row],[Open Date]]</f>
        <v>0</v>
      </c>
      <c r="R181" s="178"/>
      <c r="T181" s="54"/>
      <c r="U181" s="135"/>
    </row>
    <row r="182" spans="2:21" x14ac:dyDescent="0.25">
      <c r="B182" s="220">
        <v>166</v>
      </c>
      <c r="C182" s="121" t="e" vm="44">
        <v>#VALUE!</v>
      </c>
      <c r="D182" s="121" t="s">
        <v>21</v>
      </c>
      <c r="E182" s="120" t="s">
        <v>13</v>
      </c>
      <c r="F182" s="122">
        <v>3165</v>
      </c>
      <c r="G182" s="187">
        <v>4</v>
      </c>
      <c r="H182" s="122">
        <f>2+2.07</f>
        <v>4.07</v>
      </c>
      <c r="I182" s="122">
        <f t="shared" ref="I182:I183" si="485">((F182*G182)+H182)/G182</f>
        <v>3166.0174999999999</v>
      </c>
      <c r="J182" s="244">
        <f t="shared" ref="J182:J183" si="486">I182*G182</f>
        <v>12664.07</v>
      </c>
      <c r="K182" s="122" cm="1">
        <f t="array" ref="K182">_FV(C182,"Price")</f>
        <v>3379.81</v>
      </c>
      <c r="L182" s="122">
        <f t="shared" ref="L182:L183" si="487">(N182-I182)*G182</f>
        <v>15.930000000000291</v>
      </c>
      <c r="M182" s="126">
        <f t="shared" ref="M182:M183" si="488">L182/J182</f>
        <v>1.2578894462838795E-3</v>
      </c>
      <c r="N182" s="123">
        <v>3170</v>
      </c>
      <c r="O182" s="223">
        <v>44579</v>
      </c>
      <c r="P182" s="223">
        <v>44579</v>
      </c>
      <c r="Q182" s="237">
        <f>Table29[[#This Row],[Close Date]]-Table29[[#This Row],[Open Date]]</f>
        <v>0</v>
      </c>
      <c r="R182" s="178"/>
      <c r="T182" s="54"/>
      <c r="U182" s="135"/>
    </row>
    <row r="183" spans="2:21" x14ac:dyDescent="0.25">
      <c r="B183" s="220">
        <v>167</v>
      </c>
      <c r="C183" s="121" t="e" vm="44">
        <v>#VALUE!</v>
      </c>
      <c r="D183" s="121" t="s">
        <v>21</v>
      </c>
      <c r="E183" s="120" t="s">
        <v>13</v>
      </c>
      <c r="F183" s="122">
        <v>3160</v>
      </c>
      <c r="G183" s="187">
        <v>4</v>
      </c>
      <c r="H183" s="122">
        <f t="shared" ref="H183" si="489">2+2.07</f>
        <v>4.07</v>
      </c>
      <c r="I183" s="122">
        <f t="shared" si="485"/>
        <v>3161.0174999999999</v>
      </c>
      <c r="J183" s="244">
        <f t="shared" si="486"/>
        <v>12644.07</v>
      </c>
      <c r="K183" s="122" cm="1">
        <f t="array" ref="K183">_FV(C183,"Price")</f>
        <v>3379.81</v>
      </c>
      <c r="L183" s="122">
        <f t="shared" si="487"/>
        <v>16.3700000000008</v>
      </c>
      <c r="M183" s="126">
        <f t="shared" si="488"/>
        <v>1.29467805856823E-3</v>
      </c>
      <c r="N183" s="123">
        <v>3165.11</v>
      </c>
      <c r="O183" s="223">
        <v>44579</v>
      </c>
      <c r="P183" s="223">
        <v>44579</v>
      </c>
      <c r="Q183" s="237">
        <f>Table29[[#This Row],[Close Date]]-Table29[[#This Row],[Open Date]]</f>
        <v>0</v>
      </c>
      <c r="R183" s="178"/>
      <c r="T183" s="54"/>
      <c r="U183" s="135"/>
    </row>
    <row r="184" spans="2:21" x14ac:dyDescent="0.25">
      <c r="B184" s="220">
        <v>168</v>
      </c>
      <c r="C184" s="121" t="e" vm="14">
        <v>#VALUE!</v>
      </c>
      <c r="D184" s="121" t="s">
        <v>21</v>
      </c>
      <c r="E184" s="120" t="s">
        <v>13</v>
      </c>
      <c r="F184" s="122">
        <v>128.65</v>
      </c>
      <c r="G184" s="187">
        <v>98</v>
      </c>
      <c r="H184" s="122">
        <f>2.28+2.35</f>
        <v>4.63</v>
      </c>
      <c r="I184" s="122">
        <f t="shared" ref="I184" si="490">((F184*G184)+H184)/G184</f>
        <v>128.69724489795919</v>
      </c>
      <c r="J184" s="244">
        <f t="shared" ref="J184" si="491">I184*G184</f>
        <v>12612.330000000002</v>
      </c>
      <c r="K184" s="122" cm="1">
        <f t="array" ref="K184">_FV(C184,"Price")</f>
        <v>115.09</v>
      </c>
      <c r="L184" s="122">
        <f t="shared" ref="L184" si="492">(N184-I184)*G184</f>
        <v>10.07000000000005</v>
      </c>
      <c r="M184" s="126">
        <f t="shared" ref="M184" si="493">L184/J184</f>
        <v>7.9842503328092821E-4</v>
      </c>
      <c r="N184" s="123">
        <v>128.80000000000001</v>
      </c>
      <c r="O184" s="223">
        <v>44580</v>
      </c>
      <c r="P184" s="223">
        <v>44580</v>
      </c>
      <c r="Q184" s="237">
        <f>Table29[[#This Row],[Close Date]]-Table29[[#This Row],[Open Date]]</f>
        <v>0</v>
      </c>
      <c r="R184" s="178"/>
      <c r="T184" s="54"/>
      <c r="U184" s="135"/>
    </row>
    <row r="185" spans="2:21" x14ac:dyDescent="0.25">
      <c r="B185" s="220">
        <v>169</v>
      </c>
      <c r="C185" s="121" t="e" vm="76">
        <v>#VALUE!</v>
      </c>
      <c r="D185" s="121" t="s">
        <v>21</v>
      </c>
      <c r="E185" s="120" t="s">
        <v>13</v>
      </c>
      <c r="F185" s="122">
        <v>130</v>
      </c>
      <c r="G185" s="187">
        <v>99</v>
      </c>
      <c r="H185" s="122">
        <f>2.29+2.37</f>
        <v>4.66</v>
      </c>
      <c r="I185" s="122">
        <f t="shared" ref="I185" si="494">((F185*G185)+H185)/G185</f>
        <v>130.0470707070707</v>
      </c>
      <c r="J185" s="244">
        <f t="shared" ref="J185" si="495">I185*G185</f>
        <v>12874.66</v>
      </c>
      <c r="K185" s="122" cm="1">
        <f t="array" ref="K185">_FV(C185,"Price")</f>
        <v>138.12</v>
      </c>
      <c r="L185" s="122">
        <f t="shared" ref="L185" si="496">(N185-I185)*G185</f>
        <v>22.0700000000015</v>
      </c>
      <c r="M185" s="126">
        <f t="shared" ref="M185" si="497">L185/J185</f>
        <v>1.7142200260046867E-3</v>
      </c>
      <c r="N185" s="123">
        <v>130.27000000000001</v>
      </c>
      <c r="O185" s="223">
        <v>44580</v>
      </c>
      <c r="P185" s="223">
        <v>44580</v>
      </c>
      <c r="Q185" s="237">
        <f>Table29[[#This Row],[Close Date]]-Table29[[#This Row],[Open Date]]</f>
        <v>0</v>
      </c>
      <c r="R185" s="178"/>
      <c r="T185" s="54"/>
      <c r="U185" s="135"/>
    </row>
    <row r="186" spans="2:21" x14ac:dyDescent="0.25">
      <c r="B186" s="220">
        <v>170</v>
      </c>
      <c r="C186" s="121" t="e" vm="44">
        <v>#VALUE!</v>
      </c>
      <c r="D186" s="121" t="s">
        <v>21</v>
      </c>
      <c r="E186" s="120" t="s">
        <v>13</v>
      </c>
      <c r="F186" s="122">
        <v>3165</v>
      </c>
      <c r="G186" s="187">
        <v>4</v>
      </c>
      <c r="H186" s="122">
        <f>2+2.07</f>
        <v>4.07</v>
      </c>
      <c r="I186" s="122">
        <f t="shared" ref="I186" si="498">((F186*G186)+H186)/G186</f>
        <v>3166.0174999999999</v>
      </c>
      <c r="J186" s="244">
        <f t="shared" ref="J186" si="499">I186*G186</f>
        <v>12664.07</v>
      </c>
      <c r="K186" s="122" cm="1">
        <f t="array" ref="K186">_FV(C186,"Price")</f>
        <v>3379.81</v>
      </c>
      <c r="L186" s="122">
        <f t="shared" ref="L186" si="500">(N186-I186)*G186</f>
        <v>15.930000000000291</v>
      </c>
      <c r="M186" s="126">
        <f t="shared" ref="M186" si="501">L186/J186</f>
        <v>1.2578894462838795E-3</v>
      </c>
      <c r="N186" s="123">
        <v>3170</v>
      </c>
      <c r="O186" s="223">
        <v>44580</v>
      </c>
      <c r="P186" s="223">
        <v>44580</v>
      </c>
      <c r="Q186" s="237">
        <f>Table29[[#This Row],[Close Date]]-Table29[[#This Row],[Open Date]]</f>
        <v>0</v>
      </c>
      <c r="R186" s="178"/>
      <c r="T186" s="54"/>
      <c r="U186" s="135"/>
    </row>
    <row r="187" spans="2:21" x14ac:dyDescent="0.25">
      <c r="B187" s="221">
        <v>171</v>
      </c>
      <c r="C187" s="69" t="e" vm="44">
        <v>#VALUE!</v>
      </c>
      <c r="D187" s="69" t="s">
        <v>21</v>
      </c>
      <c r="E187" s="116" t="s">
        <v>13</v>
      </c>
      <c r="F187" s="173">
        <v>3158</v>
      </c>
      <c r="G187" s="188">
        <v>4</v>
      </c>
      <c r="H187" s="173">
        <f>2+2.07</f>
        <v>4.07</v>
      </c>
      <c r="I187" s="173">
        <f t="shared" ref="I187" si="502">((F187*G187)+H187)/G187</f>
        <v>3159.0174999999999</v>
      </c>
      <c r="J187" s="245">
        <f t="shared" ref="J187" si="503">I187*G187</f>
        <v>12636.07</v>
      </c>
      <c r="K187" s="173" cm="1">
        <f t="array" ref="K187">_FV(C187,"Price")</f>
        <v>3379.81</v>
      </c>
      <c r="L187" s="533">
        <f t="shared" ref="L187" si="504">(N187-I187)*G187</f>
        <v>-76.069999999999709</v>
      </c>
      <c r="M187" s="117">
        <f t="shared" ref="M187" si="505">L187/J187</f>
        <v>-6.0200679483415108E-3</v>
      </c>
      <c r="N187" s="173">
        <v>3140</v>
      </c>
      <c r="O187" s="224">
        <v>44580</v>
      </c>
      <c r="P187" s="224">
        <v>44580</v>
      </c>
      <c r="Q187" s="238">
        <f>Table29[[#This Row],[Close Date]]-Table29[[#This Row],[Open Date]]</f>
        <v>0</v>
      </c>
      <c r="R187" s="178"/>
      <c r="T187" s="54"/>
      <c r="U187" s="135"/>
    </row>
    <row r="188" spans="2:21" x14ac:dyDescent="0.25">
      <c r="B188" s="220">
        <v>172</v>
      </c>
      <c r="C188" s="121" t="e" vm="28">
        <v>#VALUE!</v>
      </c>
      <c r="D188" s="121" t="s">
        <v>21</v>
      </c>
      <c r="E188" s="120" t="s">
        <v>13</v>
      </c>
      <c r="F188" s="122">
        <v>256</v>
      </c>
      <c r="G188" s="187">
        <v>49</v>
      </c>
      <c r="H188" s="122">
        <f>2.21+2.14</f>
        <v>4.3499999999999996</v>
      </c>
      <c r="I188" s="122">
        <f t="shared" ref="I188" si="506">((F188*G188)+H188)/G188</f>
        <v>256.08877551020407</v>
      </c>
      <c r="J188" s="244">
        <f t="shared" ref="J188" si="507">I188*G188</f>
        <v>12548.35</v>
      </c>
      <c r="K188" s="122" cm="1">
        <f t="array" ref="K188">_FV(C188,"Price")</f>
        <v>282.19</v>
      </c>
      <c r="L188" s="122">
        <f t="shared" ref="L188" si="508">(N188-I188)*G188</f>
        <v>54.449999999999875</v>
      </c>
      <c r="M188" s="126">
        <f t="shared" ref="M188" si="509">L188/J188</f>
        <v>4.3392159128490893E-3</v>
      </c>
      <c r="N188" s="123">
        <v>257.2</v>
      </c>
      <c r="O188" s="223">
        <v>44580</v>
      </c>
      <c r="P188" s="223">
        <v>44580</v>
      </c>
      <c r="Q188" s="237">
        <f>Table29[[#This Row],[Close Date]]-Table29[[#This Row],[Open Date]]</f>
        <v>0</v>
      </c>
      <c r="R188" s="178"/>
      <c r="T188" s="54"/>
      <c r="U188" s="135"/>
    </row>
    <row r="189" spans="2:21" x14ac:dyDescent="0.25">
      <c r="B189" s="220">
        <v>173</v>
      </c>
      <c r="C189" s="121" t="e" vm="23">
        <v>#VALUE!</v>
      </c>
      <c r="D189" s="121" t="s">
        <v>21</v>
      </c>
      <c r="E189" s="120" t="s">
        <v>13</v>
      </c>
      <c r="F189" s="122">
        <v>137.5</v>
      </c>
      <c r="G189" s="187">
        <v>70</v>
      </c>
      <c r="H189" s="122">
        <f>2.2+2.26</f>
        <v>4.46</v>
      </c>
      <c r="I189" s="122">
        <f t="shared" ref="I189" si="510">((F189*G189)+H189)/G189</f>
        <v>137.56371428571427</v>
      </c>
      <c r="J189" s="244">
        <f t="shared" ref="J189" si="511">I189*G189</f>
        <v>9629.4599999999991</v>
      </c>
      <c r="K189" s="122" cm="1">
        <f t="array" ref="K189">_FV(C189,"Price")</f>
        <v>128.04</v>
      </c>
      <c r="L189" s="122">
        <f t="shared" ref="L189" si="512">(N189-I189)*G189</f>
        <v>9.5400000000003615</v>
      </c>
      <c r="M189" s="126">
        <f t="shared" ref="M189" si="513">L189/J189</f>
        <v>9.907097594257998E-4</v>
      </c>
      <c r="N189" s="123">
        <v>137.69999999999999</v>
      </c>
      <c r="O189" s="223">
        <v>44580</v>
      </c>
      <c r="P189" s="223">
        <v>44580</v>
      </c>
      <c r="Q189" s="237">
        <f>Table29[[#This Row],[Close Date]]-Table29[[#This Row],[Open Date]]</f>
        <v>0</v>
      </c>
      <c r="R189" s="178"/>
      <c r="T189" s="54"/>
      <c r="U189" s="135"/>
    </row>
    <row r="190" spans="2:21" x14ac:dyDescent="0.25">
      <c r="B190" s="220">
        <v>174</v>
      </c>
      <c r="C190" s="121" t="e" vm="68">
        <v>#VALUE!</v>
      </c>
      <c r="D190" s="121" t="s">
        <v>21</v>
      </c>
      <c r="E190" s="120" t="s">
        <v>13</v>
      </c>
      <c r="F190" s="122">
        <v>31.68</v>
      </c>
      <c r="G190" s="187">
        <v>300</v>
      </c>
      <c r="H190" s="122">
        <f t="shared" ref="H190:H201" si="514">3.96+3.87</f>
        <v>7.83</v>
      </c>
      <c r="I190" s="122">
        <f t="shared" ref="I190" si="515">((F190*G190)+H190)/G190</f>
        <v>31.706099999999999</v>
      </c>
      <c r="J190" s="244">
        <f t="shared" ref="J190" si="516">I190*G190</f>
        <v>9511.83</v>
      </c>
      <c r="K190" s="122" cm="1">
        <f t="array" ref="K190">_FV(C190,"Price")</f>
        <v>28.07</v>
      </c>
      <c r="L190" s="122">
        <f t="shared" ref="L190" si="517">(N190-I190)*G190</f>
        <v>88.170000000000215</v>
      </c>
      <c r="M190" s="126">
        <f t="shared" ref="M190" si="518">L190/J190</f>
        <v>9.2695096527166919E-3</v>
      </c>
      <c r="N190" s="123">
        <v>32</v>
      </c>
      <c r="O190" s="223">
        <v>44580</v>
      </c>
      <c r="P190" s="223">
        <v>44580</v>
      </c>
      <c r="Q190" s="237">
        <f>Table29[[#This Row],[Close Date]]-Table29[[#This Row],[Open Date]]</f>
        <v>0</v>
      </c>
      <c r="R190" s="178"/>
      <c r="T190" s="54"/>
      <c r="U190" s="135"/>
    </row>
    <row r="191" spans="2:21" x14ac:dyDescent="0.25">
      <c r="B191" s="220">
        <v>175</v>
      </c>
      <c r="C191" s="121" t="e" vm="62">
        <v>#VALUE!</v>
      </c>
      <c r="D191" s="121" t="s">
        <v>21</v>
      </c>
      <c r="E191" s="120" t="s">
        <v>13</v>
      </c>
      <c r="F191" s="122">
        <v>178.45</v>
      </c>
      <c r="G191" s="187">
        <v>120</v>
      </c>
      <c r="H191" s="122">
        <f t="shared" si="514"/>
        <v>7.83</v>
      </c>
      <c r="I191" s="122">
        <f t="shared" ref="I191" si="519">((F191*G191)+H191)/G191</f>
        <v>178.51525000000001</v>
      </c>
      <c r="J191" s="244">
        <f t="shared" ref="J191" si="520">I191*G191</f>
        <v>21421.83</v>
      </c>
      <c r="K191" s="122" cm="1">
        <f t="array" ref="K191">_FV(C191,"Price")</f>
        <v>116.98</v>
      </c>
      <c r="L191" s="122">
        <f t="shared" ref="L191" si="521">(N191-I191)*G191</f>
        <v>53.369999999999891</v>
      </c>
      <c r="M191" s="126">
        <f t="shared" ref="M191" si="522">L191/J191</f>
        <v>2.4913837893401213E-3</v>
      </c>
      <c r="N191" s="123">
        <v>178.96</v>
      </c>
      <c r="O191" s="223">
        <v>44581</v>
      </c>
      <c r="P191" s="223">
        <v>44581</v>
      </c>
      <c r="Q191" s="237">
        <f>Table29[[#This Row],[Close Date]]-Table29[[#This Row],[Open Date]]</f>
        <v>0</v>
      </c>
      <c r="R191" s="178"/>
      <c r="T191" s="54"/>
      <c r="U191" s="135"/>
    </row>
    <row r="192" spans="2:21" x14ac:dyDescent="0.25">
      <c r="B192" s="220">
        <v>176</v>
      </c>
      <c r="C192" s="121" t="e" vm="40">
        <v>#VALUE!</v>
      </c>
      <c r="D192" s="121" t="s">
        <v>21</v>
      </c>
      <c r="E192" s="120" t="s">
        <v>13</v>
      </c>
      <c r="F192" s="122">
        <v>79.7</v>
      </c>
      <c r="G192" s="187">
        <v>133</v>
      </c>
      <c r="H192" s="122">
        <f t="shared" si="514"/>
        <v>7.83</v>
      </c>
      <c r="I192" s="122">
        <f t="shared" ref="I192" si="523">((F192*G192)+H192)/G192</f>
        <v>79.758872180451135</v>
      </c>
      <c r="J192" s="244">
        <f t="shared" ref="J192" si="524">I192*G192</f>
        <v>10607.93</v>
      </c>
      <c r="K192" s="122" cm="1">
        <f t="array" ref="K192">_FV(C192,"Price")</f>
        <v>59.77</v>
      </c>
      <c r="L192" s="122">
        <f t="shared" ref="L192" si="525">(N192-I192)*G192</f>
        <v>10.78999999999948</v>
      </c>
      <c r="M192" s="126">
        <f t="shared" ref="M192" si="526">L192/J192</f>
        <v>1.0171635747972961E-3</v>
      </c>
      <c r="N192" s="123">
        <v>79.84</v>
      </c>
      <c r="O192" s="223">
        <v>44581</v>
      </c>
      <c r="P192" s="223">
        <v>44581</v>
      </c>
      <c r="Q192" s="237">
        <f>Table29[[#This Row],[Close Date]]-Table29[[#This Row],[Open Date]]</f>
        <v>0</v>
      </c>
      <c r="R192" s="178"/>
      <c r="T192" s="54"/>
      <c r="U192" s="135"/>
    </row>
    <row r="193" spans="2:21" x14ac:dyDescent="0.25">
      <c r="B193" s="221">
        <v>177</v>
      </c>
      <c r="C193" s="69" t="e" vm="14">
        <v>#VALUE!</v>
      </c>
      <c r="D193" s="69" t="s">
        <v>21</v>
      </c>
      <c r="E193" s="116" t="s">
        <v>13</v>
      </c>
      <c r="F193" s="173">
        <v>135.5</v>
      </c>
      <c r="G193" s="188">
        <v>15</v>
      </c>
      <c r="H193" s="173">
        <f t="shared" si="514"/>
        <v>7.83</v>
      </c>
      <c r="I193" s="173">
        <f t="shared" ref="I193" si="527">((F193*G193)+H193)/G193</f>
        <v>136.02199999999999</v>
      </c>
      <c r="J193" s="245">
        <f t="shared" ref="J193" si="528">I193*G193</f>
        <v>2040.33</v>
      </c>
      <c r="K193" s="173" cm="1">
        <f t="array" ref="K193">_FV(C193,"Price")</f>
        <v>115.09</v>
      </c>
      <c r="L193" s="533">
        <f t="shared" ref="L193" si="529">(N193-I193)*G193</f>
        <v>-9.3299999999997851</v>
      </c>
      <c r="M193" s="117">
        <f t="shared" ref="M193" si="530">L193/J193</f>
        <v>-4.5727896957844004E-3</v>
      </c>
      <c r="N193" s="173">
        <v>135.4</v>
      </c>
      <c r="O193" s="224">
        <v>44581</v>
      </c>
      <c r="P193" s="224">
        <v>44581</v>
      </c>
      <c r="Q193" s="238">
        <f>Table29[[#This Row],[Close Date]]-Table29[[#This Row],[Open Date]]</f>
        <v>0</v>
      </c>
      <c r="R193" s="178"/>
      <c r="T193" s="54"/>
      <c r="U193" s="135"/>
    </row>
    <row r="194" spans="2:21" x14ac:dyDescent="0.25">
      <c r="B194" s="221">
        <v>178</v>
      </c>
      <c r="C194" s="69" t="e" vm="77">
        <v>#VALUE!</v>
      </c>
      <c r="D194" s="69" t="s">
        <v>21</v>
      </c>
      <c r="E194" s="116" t="s">
        <v>13</v>
      </c>
      <c r="F194" s="173">
        <v>726.16</v>
      </c>
      <c r="G194" s="188">
        <v>28</v>
      </c>
      <c r="H194" s="173">
        <f t="shared" si="514"/>
        <v>7.83</v>
      </c>
      <c r="I194" s="173">
        <f t="shared" ref="I194" si="531">((F194*G194)+H194)/G194</f>
        <v>726.43964285714287</v>
      </c>
      <c r="J194" s="245">
        <f t="shared" ref="J194" si="532">I194*G194</f>
        <v>20340.310000000001</v>
      </c>
      <c r="K194" s="173" cm="1">
        <f t="array" ref="K194">_FV(C194,"Price")</f>
        <v>694.83</v>
      </c>
      <c r="L194" s="533">
        <f t="shared" ref="L194" si="533">(N194-I194)*G194</f>
        <v>-57.110000000001037</v>
      </c>
      <c r="M194" s="117">
        <f t="shared" ref="M194" si="534">L194/J194</f>
        <v>-2.8077251526648825E-3</v>
      </c>
      <c r="N194" s="173">
        <v>724.4</v>
      </c>
      <c r="O194" s="224">
        <v>44581</v>
      </c>
      <c r="P194" s="224">
        <v>44581</v>
      </c>
      <c r="Q194" s="238">
        <f>Table29[[#This Row],[Close Date]]-Table29[[#This Row],[Open Date]]</f>
        <v>0</v>
      </c>
      <c r="R194" s="178"/>
      <c r="T194" s="54"/>
      <c r="U194" s="135"/>
    </row>
    <row r="195" spans="2:21" x14ac:dyDescent="0.25">
      <c r="B195" s="221">
        <v>179</v>
      </c>
      <c r="C195" s="69" t="e" vm="54">
        <v>#VALUE!</v>
      </c>
      <c r="D195" s="69" t="s">
        <v>21</v>
      </c>
      <c r="E195" s="116" t="s">
        <v>13</v>
      </c>
      <c r="F195" s="173">
        <v>174.5</v>
      </c>
      <c r="G195" s="188">
        <v>20</v>
      </c>
      <c r="H195" s="173">
        <f t="shared" si="514"/>
        <v>7.83</v>
      </c>
      <c r="I195" s="173">
        <f t="shared" ref="I195" si="535">((F195*G195)+H195)/G195</f>
        <v>174.89150000000001</v>
      </c>
      <c r="J195" s="245">
        <f t="shared" ref="J195" si="536">I195*G195</f>
        <v>3497.83</v>
      </c>
      <c r="K195" s="173" cm="1">
        <f t="array" ref="K195">_FV(C195,"Price")</f>
        <v>116.17</v>
      </c>
      <c r="L195" s="533">
        <f t="shared" ref="L195" si="537">(N195-I195)*G195</f>
        <v>-12.42999999999995</v>
      </c>
      <c r="M195" s="117">
        <f t="shared" ref="M195" si="538">L195/J195</f>
        <v>-3.5536318231589158E-3</v>
      </c>
      <c r="N195" s="173">
        <v>174.27</v>
      </c>
      <c r="O195" s="224">
        <v>44581</v>
      </c>
      <c r="P195" s="224">
        <v>44581</v>
      </c>
      <c r="Q195" s="238">
        <f>Table29[[#This Row],[Close Date]]-Table29[[#This Row],[Open Date]]</f>
        <v>0</v>
      </c>
      <c r="R195" s="178"/>
      <c r="T195" s="54"/>
      <c r="U195" s="135"/>
    </row>
    <row r="196" spans="2:21" x14ac:dyDescent="0.25">
      <c r="B196" s="220">
        <v>180</v>
      </c>
      <c r="C196" s="121" t="e" vm="29">
        <v>#VALUE!</v>
      </c>
      <c r="D196" s="121" t="s">
        <v>21</v>
      </c>
      <c r="E196" s="120" t="s">
        <v>13</v>
      </c>
      <c r="F196" s="122">
        <v>29.28</v>
      </c>
      <c r="G196" s="187">
        <v>27</v>
      </c>
      <c r="H196" s="122">
        <f t="shared" si="514"/>
        <v>7.83</v>
      </c>
      <c r="I196" s="122">
        <f t="shared" ref="I196" si="539">((F196*G196)+H196)/G196</f>
        <v>29.570000000000004</v>
      </c>
      <c r="J196" s="244">
        <f t="shared" ref="J196" si="540">I196*G196</f>
        <v>798.3900000000001</v>
      </c>
      <c r="K196" s="122" cm="1">
        <f t="array" ref="K196">_FV(C196,"Price")</f>
        <v>21.21</v>
      </c>
      <c r="L196" s="122">
        <f t="shared" ref="L196" si="541">(N196-I196)*G196</f>
        <v>11.609999999999896</v>
      </c>
      <c r="M196" s="126">
        <f t="shared" ref="M196" si="542">L196/J196</f>
        <v>1.4541765302671495E-2</v>
      </c>
      <c r="N196" s="123">
        <v>30</v>
      </c>
      <c r="O196" s="223">
        <v>44581</v>
      </c>
      <c r="P196" s="223">
        <v>44581</v>
      </c>
      <c r="Q196" s="237">
        <f>Table29[[#This Row],[Close Date]]-Table29[[#This Row],[Open Date]]</f>
        <v>0</v>
      </c>
      <c r="R196" s="178"/>
      <c r="T196" s="54"/>
      <c r="U196" s="135"/>
    </row>
    <row r="197" spans="2:21" x14ac:dyDescent="0.25">
      <c r="B197" s="221">
        <v>181</v>
      </c>
      <c r="C197" s="69" t="e" vm="53">
        <v>#VALUE!</v>
      </c>
      <c r="D197" s="69" t="s">
        <v>21</v>
      </c>
      <c r="E197" s="116" t="s">
        <v>13</v>
      </c>
      <c r="F197" s="173">
        <v>2725</v>
      </c>
      <c r="G197" s="188">
        <v>9</v>
      </c>
      <c r="H197" s="173">
        <f t="shared" si="514"/>
        <v>7.83</v>
      </c>
      <c r="I197" s="173">
        <f t="shared" ref="I197" si="543">((F197*G197)+H197)/G197</f>
        <v>2725.8700000000003</v>
      </c>
      <c r="J197" s="245">
        <f t="shared" ref="J197" si="544">I197*G197</f>
        <v>24532.83</v>
      </c>
      <c r="K197" s="173" cm="1">
        <f t="array" ref="K197">_FV(C197,"Price")</f>
        <v>2839</v>
      </c>
      <c r="L197" s="533">
        <f t="shared" ref="L197" si="545">(N197-I197)*G197</f>
        <v>-86.31000000000131</v>
      </c>
      <c r="M197" s="117">
        <f t="shared" ref="M197" si="546">L197/J197</f>
        <v>-3.5181428314630357E-3</v>
      </c>
      <c r="N197" s="173">
        <v>2716.28</v>
      </c>
      <c r="O197" s="224">
        <v>44581</v>
      </c>
      <c r="P197" s="224">
        <v>44581</v>
      </c>
      <c r="Q197" s="238">
        <f>Table29[[#This Row],[Close Date]]-Table29[[#This Row],[Open Date]]</f>
        <v>0</v>
      </c>
      <c r="R197" s="178"/>
      <c r="T197" s="54"/>
      <c r="U197" s="135"/>
    </row>
    <row r="198" spans="2:21" x14ac:dyDescent="0.25">
      <c r="B198" s="220">
        <v>182</v>
      </c>
      <c r="C198" s="121" t="e" vm="70">
        <v>#VALUE!</v>
      </c>
      <c r="D198" s="121" t="s">
        <v>21</v>
      </c>
      <c r="E198" s="120" t="s">
        <v>13</v>
      </c>
      <c r="F198" s="122">
        <v>49.65</v>
      </c>
      <c r="G198" s="187">
        <v>517</v>
      </c>
      <c r="H198" s="122">
        <f t="shared" si="514"/>
        <v>7.83</v>
      </c>
      <c r="I198" s="122">
        <f t="shared" ref="I198" si="547">((F198*G198)+H198)/G198</f>
        <v>49.665145067698262</v>
      </c>
      <c r="J198" s="244">
        <f t="shared" ref="J198" si="548">I198*G198</f>
        <v>25676.880000000001</v>
      </c>
      <c r="K198" s="122" cm="1">
        <f t="array" ref="K198">_FV(C198,"Price")</f>
        <v>33.799999999999997</v>
      </c>
      <c r="L198" s="122">
        <f t="shared" ref="L198" si="549">(N198-I198)*G198</f>
        <v>49.039999999997526</v>
      </c>
      <c r="M198" s="126">
        <f t="shared" ref="M198" si="550">L198/J198</f>
        <v>1.9098893635051269E-3</v>
      </c>
      <c r="N198" s="123">
        <v>49.76</v>
      </c>
      <c r="O198" s="223">
        <v>44581</v>
      </c>
      <c r="P198" s="223">
        <v>44581</v>
      </c>
      <c r="Q198" s="237">
        <f>Table29[[#This Row],[Close Date]]-Table29[[#This Row],[Open Date]]</f>
        <v>0</v>
      </c>
      <c r="R198" s="178"/>
      <c r="T198" s="54"/>
      <c r="U198" s="135"/>
    </row>
    <row r="199" spans="2:21" x14ac:dyDescent="0.25">
      <c r="B199" s="221">
        <v>183</v>
      </c>
      <c r="C199" s="69" t="e" vm="44">
        <v>#VALUE!</v>
      </c>
      <c r="D199" s="69" t="s">
        <v>21</v>
      </c>
      <c r="E199" s="116" t="s">
        <v>13</v>
      </c>
      <c r="F199" s="173">
        <v>3111.8</v>
      </c>
      <c r="G199" s="188">
        <v>10</v>
      </c>
      <c r="H199" s="173">
        <f t="shared" si="514"/>
        <v>7.83</v>
      </c>
      <c r="I199" s="173">
        <f t="shared" ref="I199" si="551">((F199*G199)+H199)/G199</f>
        <v>3112.5830000000001</v>
      </c>
      <c r="J199" s="245">
        <f t="shared" ref="J199" si="552">I199*G199</f>
        <v>31125.83</v>
      </c>
      <c r="K199" s="173" cm="1">
        <f t="array" ref="K199">_FV(C199,"Price")</f>
        <v>3379.81</v>
      </c>
      <c r="L199" s="533">
        <f t="shared" ref="L199" si="553">(N199-I199)*G199</f>
        <v>-197.82999999999902</v>
      </c>
      <c r="M199" s="117">
        <f t="shared" ref="M199" si="554">L199/J199</f>
        <v>-6.3558144473576774E-3</v>
      </c>
      <c r="N199" s="173">
        <v>3092.8</v>
      </c>
      <c r="O199" s="224">
        <v>44581</v>
      </c>
      <c r="P199" s="224">
        <v>44581</v>
      </c>
      <c r="Q199" s="238">
        <f>Table29[[#This Row],[Close Date]]-Table29[[#This Row],[Open Date]]</f>
        <v>0</v>
      </c>
      <c r="R199" s="178"/>
      <c r="T199" s="54"/>
      <c r="U199" s="135"/>
    </row>
    <row r="200" spans="2:21" x14ac:dyDescent="0.25">
      <c r="B200" s="221">
        <v>184</v>
      </c>
      <c r="C200" s="69" t="e" vm="78">
        <v>#VALUE!</v>
      </c>
      <c r="D200" s="69" t="s">
        <v>21</v>
      </c>
      <c r="E200" s="116" t="s">
        <v>13</v>
      </c>
      <c r="F200" s="173">
        <v>455</v>
      </c>
      <c r="G200" s="188">
        <v>26</v>
      </c>
      <c r="H200" s="173">
        <f t="shared" si="514"/>
        <v>7.83</v>
      </c>
      <c r="I200" s="173">
        <f t="shared" ref="I200" si="555">((F200*G200)+H200)/G200</f>
        <v>455.30115384615385</v>
      </c>
      <c r="J200" s="245">
        <f t="shared" ref="J200" si="556">I200*G200</f>
        <v>11837.83</v>
      </c>
      <c r="K200" s="173" cm="1">
        <f t="array" ref="K200">_FV(C200,"Price")</f>
        <v>378.51</v>
      </c>
      <c r="L200" s="533">
        <f t="shared" ref="L200" si="557">(N200-I200)*G200</f>
        <v>-787.83000000000015</v>
      </c>
      <c r="M200" s="117">
        <f t="shared" ref="M200" si="558">L200/J200</f>
        <v>-6.6551893379107496E-2</v>
      </c>
      <c r="N200" s="173">
        <v>425</v>
      </c>
      <c r="O200" s="224">
        <v>44581</v>
      </c>
      <c r="P200" s="224">
        <v>44581</v>
      </c>
      <c r="Q200" s="238">
        <f>Table29[[#This Row],[Close Date]]-Table29[[#This Row],[Open Date]]</f>
        <v>0</v>
      </c>
      <c r="R200" s="178"/>
      <c r="T200" s="54"/>
      <c r="U200" s="135"/>
    </row>
    <row r="201" spans="2:21" x14ac:dyDescent="0.25">
      <c r="B201" s="221">
        <v>185</v>
      </c>
      <c r="C201" s="69" t="e" vm="78">
        <v>#VALUE!</v>
      </c>
      <c r="D201" s="69" t="s">
        <v>21</v>
      </c>
      <c r="E201" s="116" t="s">
        <v>13</v>
      </c>
      <c r="F201" s="173">
        <v>414</v>
      </c>
      <c r="G201" s="188">
        <v>24</v>
      </c>
      <c r="H201" s="173">
        <f t="shared" si="514"/>
        <v>7.83</v>
      </c>
      <c r="I201" s="173">
        <f t="shared" ref="I201" si="559">((F201*G201)+H201)/G201</f>
        <v>414.32625000000002</v>
      </c>
      <c r="J201" s="245">
        <f t="shared" ref="J201" si="560">I201*G201</f>
        <v>9943.83</v>
      </c>
      <c r="K201" s="173" cm="1">
        <f t="array" ref="K201">_FV(C201,"Price")</f>
        <v>378.51</v>
      </c>
      <c r="L201" s="533">
        <f t="shared" ref="L201" si="561">(N201-I201)*G201</f>
        <v>-367.83000000000038</v>
      </c>
      <c r="M201" s="117">
        <f t="shared" ref="M201" si="562">L201/J201</f>
        <v>-3.6990777195507203E-2</v>
      </c>
      <c r="N201" s="173">
        <v>399</v>
      </c>
      <c r="O201" s="224">
        <v>44581</v>
      </c>
      <c r="P201" s="224">
        <v>44582</v>
      </c>
      <c r="Q201" s="238">
        <f>Table29[[#This Row],[Close Date]]-Table29[[#This Row],[Open Date]]</f>
        <v>1</v>
      </c>
      <c r="R201" s="178"/>
      <c r="T201" s="54"/>
      <c r="U201" s="135"/>
    </row>
    <row r="202" spans="2:21" x14ac:dyDescent="0.25">
      <c r="B202" s="222"/>
      <c r="C202" s="65"/>
      <c r="D202" s="65"/>
      <c r="E202" s="115"/>
      <c r="F202" s="66"/>
      <c r="G202" s="189"/>
      <c r="H202" s="66"/>
      <c r="I202" s="66"/>
      <c r="J202" s="246"/>
      <c r="K202" s="66"/>
      <c r="L202" s="67"/>
      <c r="M202" s="72"/>
      <c r="N202" s="174"/>
      <c r="O202" s="510"/>
      <c r="P202" s="510"/>
      <c r="Q202" s="511"/>
      <c r="R202" s="178"/>
      <c r="T202" s="54"/>
      <c r="U202" s="135"/>
    </row>
    <row r="203" spans="2:21" x14ac:dyDescent="0.25">
      <c r="B203" s="222"/>
      <c r="C203" s="65"/>
      <c r="D203" s="65"/>
      <c r="E203" s="115"/>
      <c r="F203" s="66"/>
      <c r="G203" s="189"/>
      <c r="H203" s="66"/>
      <c r="I203" s="66"/>
      <c r="J203" s="246"/>
      <c r="K203" s="66"/>
      <c r="L203" s="67"/>
      <c r="M203" s="72"/>
      <c r="N203" s="174"/>
      <c r="O203" s="510"/>
      <c r="P203" s="510"/>
      <c r="Q203" s="511"/>
      <c r="R203" s="178"/>
      <c r="T203" s="54"/>
      <c r="U203" s="135"/>
    </row>
    <row r="204" spans="2:21" x14ac:dyDescent="0.25">
      <c r="B204" s="222"/>
      <c r="C204" s="65"/>
      <c r="D204" s="65"/>
      <c r="E204" s="115"/>
      <c r="F204" s="66"/>
      <c r="G204" s="189"/>
      <c r="H204" s="66"/>
      <c r="I204" s="66"/>
      <c r="J204" s="246"/>
      <c r="K204" s="66"/>
      <c r="L204" s="67"/>
      <c r="M204" s="72"/>
      <c r="N204" s="174"/>
      <c r="O204" s="510"/>
      <c r="P204" s="510"/>
      <c r="Q204" s="511"/>
      <c r="R204" s="178"/>
      <c r="T204" s="54"/>
      <c r="U204" s="135"/>
    </row>
    <row r="205" spans="2:21" x14ac:dyDescent="0.25">
      <c r="B205" s="222"/>
      <c r="C205" s="65"/>
      <c r="D205" s="65"/>
      <c r="E205" s="115"/>
      <c r="F205" s="66"/>
      <c r="G205" s="189"/>
      <c r="H205" s="66"/>
      <c r="I205" s="66"/>
      <c r="J205" s="246"/>
      <c r="K205" s="66"/>
      <c r="L205" s="67"/>
      <c r="M205" s="72"/>
      <c r="N205" s="174"/>
      <c r="O205" s="510"/>
      <c r="P205" s="510"/>
      <c r="Q205" s="511"/>
      <c r="R205" s="178"/>
      <c r="T205" s="54"/>
      <c r="U205" s="135"/>
    </row>
    <row r="206" spans="2:21" x14ac:dyDescent="0.25">
      <c r="B206" s="222"/>
      <c r="C206" s="65"/>
      <c r="D206" s="65"/>
      <c r="E206" s="115"/>
      <c r="F206" s="66"/>
      <c r="G206" s="189"/>
      <c r="H206" s="66"/>
      <c r="I206" s="66"/>
      <c r="J206" s="246"/>
      <c r="K206" s="66"/>
      <c r="L206" s="67"/>
      <c r="M206" s="72"/>
      <c r="N206" s="174"/>
      <c r="O206" s="510"/>
      <c r="P206" s="510"/>
      <c r="Q206" s="511"/>
      <c r="R206" s="178"/>
      <c r="T206" s="54"/>
      <c r="U206" s="135"/>
    </row>
    <row r="207" spans="2:21" x14ac:dyDescent="0.25">
      <c r="B207" s="222"/>
      <c r="C207" s="65"/>
      <c r="D207" s="65"/>
      <c r="E207" s="115"/>
      <c r="F207" s="66"/>
      <c r="G207" s="189"/>
      <c r="H207" s="66"/>
      <c r="I207" s="66"/>
      <c r="J207" s="246"/>
      <c r="K207" s="66"/>
      <c r="L207" s="67"/>
      <c r="M207" s="72"/>
      <c r="N207" s="174"/>
      <c r="O207" s="510"/>
      <c r="P207" s="510"/>
      <c r="Q207" s="511"/>
      <c r="R207" s="178"/>
      <c r="T207" s="54"/>
      <c r="U207" s="135"/>
    </row>
    <row r="208" spans="2:21" x14ac:dyDescent="0.25">
      <c r="B208" s="222"/>
      <c r="C208" s="65"/>
      <c r="D208" s="65"/>
      <c r="E208" s="115"/>
      <c r="F208" s="66"/>
      <c r="G208" s="189"/>
      <c r="H208" s="66"/>
      <c r="I208" s="66"/>
      <c r="J208" s="246"/>
      <c r="K208" s="66"/>
      <c r="L208" s="67"/>
      <c r="M208" s="72"/>
      <c r="N208" s="174"/>
      <c r="O208" s="510"/>
      <c r="P208" s="510"/>
      <c r="Q208" s="511"/>
      <c r="R208" s="178"/>
      <c r="T208" s="54"/>
      <c r="U208" s="135"/>
    </row>
    <row r="209" spans="2:24" x14ac:dyDescent="0.25">
      <c r="B209" s="222"/>
      <c r="C209" s="65"/>
      <c r="D209" s="65"/>
      <c r="E209" s="115"/>
      <c r="F209" s="66"/>
      <c r="G209" s="189"/>
      <c r="H209" s="66"/>
      <c r="I209" s="66"/>
      <c r="J209" s="246"/>
      <c r="K209" s="66"/>
      <c r="L209" s="67"/>
      <c r="M209" s="72"/>
      <c r="N209" s="174"/>
      <c r="O209" s="510"/>
      <c r="P209" s="510"/>
      <c r="Q209" s="511"/>
      <c r="R209" s="178"/>
      <c r="T209" s="54"/>
      <c r="U209" s="135"/>
    </row>
    <row r="210" spans="2:24" x14ac:dyDescent="0.25">
      <c r="B210" s="222"/>
      <c r="C210" s="65"/>
      <c r="D210" s="65"/>
      <c r="E210" s="115"/>
      <c r="F210" s="66"/>
      <c r="G210" s="189"/>
      <c r="H210" s="66"/>
      <c r="I210" s="66"/>
      <c r="J210" s="246"/>
      <c r="K210" s="66"/>
      <c r="L210" s="67"/>
      <c r="M210" s="72"/>
      <c r="N210" s="174"/>
      <c r="O210" s="260"/>
      <c r="P210" s="225"/>
      <c r="Q210" s="239"/>
      <c r="R210" s="178"/>
      <c r="T210" s="54"/>
      <c r="U210" s="135"/>
    </row>
    <row r="211" spans="2:24" s="43" customFormat="1" x14ac:dyDescent="0.25">
      <c r="B211" s="215"/>
      <c r="C211" s="161"/>
      <c r="D211" s="161"/>
      <c r="E211" s="240"/>
      <c r="F211" s="216"/>
      <c r="G211" s="217"/>
      <c r="H211" s="216"/>
      <c r="I211" s="216"/>
      <c r="J211" s="242"/>
      <c r="K211" s="216"/>
      <c r="L211" s="218"/>
      <c r="M211" s="219"/>
      <c r="N211" s="232"/>
      <c r="O211" s="233"/>
      <c r="P211" s="233"/>
      <c r="Q211" s="233"/>
      <c r="R211" s="178"/>
      <c r="T211" s="91"/>
      <c r="U211" s="180"/>
    </row>
    <row r="212" spans="2:24" s="43" customFormat="1" x14ac:dyDescent="0.25">
      <c r="B212" s="265"/>
      <c r="C212" s="266"/>
      <c r="D212" s="266"/>
      <c r="E212" s="265"/>
      <c r="F212" s="275"/>
      <c r="G212" s="276"/>
      <c r="H212" s="276">
        <f>SUBTOTAL(109,Table29[Fee])</f>
        <v>1249.2297435897428</v>
      </c>
      <c r="I212" s="276"/>
      <c r="J212" s="276"/>
      <c r="K212" s="276"/>
      <c r="L212" s="543">
        <f>SUBTOTAL(109,Table29[Gain/Loss])</f>
        <v>-4306.138487179478</v>
      </c>
      <c r="M212" s="277"/>
      <c r="N212" s="274"/>
      <c r="O212" s="273"/>
      <c r="P212" s="273"/>
      <c r="Q212" s="273"/>
      <c r="R212" s="178"/>
      <c r="T212" s="91"/>
      <c r="U212" s="180"/>
    </row>
    <row r="213" spans="2:24" s="43" customFormat="1" x14ac:dyDescent="0.25">
      <c r="B213" s="265"/>
      <c r="C213" s="266"/>
      <c r="D213" s="266"/>
      <c r="E213" s="265"/>
      <c r="F213" s="267"/>
      <c r="G213" s="268"/>
      <c r="H213" s="272">
        <f>Table29[[#Totals],[Fee]]/(Table29[[#Totals],[Fee]]+Table29[[#Totals],[Gain/Loss]])</f>
        <v>-0.40865784633229491</v>
      </c>
      <c r="I213" s="267"/>
      <c r="J213" s="269"/>
      <c r="K213" s="267"/>
      <c r="L213" s="272">
        <f>Table29[[#Totals],[Gain/Loss]]/(Table29[[#Totals],[Fee]]+Table29[[#Totals],[Gain/Loss]])</f>
        <v>1.4086578463322947</v>
      </c>
      <c r="M213" s="270"/>
      <c r="N213" s="271"/>
      <c r="O213" s="273"/>
      <c r="P213" s="273"/>
      <c r="Q213" s="273"/>
      <c r="R213" s="178"/>
      <c r="T213" s="91"/>
      <c r="U213" s="180"/>
    </row>
    <row r="214" spans="2:24" s="43" customFormat="1" x14ac:dyDescent="0.25">
      <c r="B214" s="169"/>
      <c r="C214" s="91"/>
      <c r="D214" s="91"/>
      <c r="E214" s="169"/>
      <c r="F214" s="93"/>
      <c r="G214" s="202"/>
      <c r="H214" s="93"/>
      <c r="I214" s="93"/>
      <c r="J214" s="243"/>
      <c r="K214" s="93"/>
      <c r="L214" s="94"/>
      <c r="M214" s="170"/>
      <c r="N214" s="235"/>
      <c r="O214" s="172"/>
      <c r="P214" s="172"/>
      <c r="Q214" s="172"/>
      <c r="R214" s="178"/>
      <c r="T214" s="91"/>
      <c r="U214" s="180"/>
    </row>
    <row r="215" spans="2:24" s="91" customFormat="1" x14ac:dyDescent="0.25">
      <c r="B215" s="169"/>
      <c r="F215" s="93"/>
      <c r="G215" s="202"/>
      <c r="H215" s="93"/>
      <c r="I215" s="93"/>
      <c r="J215" s="93"/>
      <c r="K215" s="93"/>
      <c r="L215" s="93"/>
      <c r="M215" s="170"/>
      <c r="N215" s="235"/>
      <c r="O215" s="171"/>
      <c r="P215" s="172"/>
      <c r="Q215" s="172"/>
      <c r="R215" s="172"/>
      <c r="S215" s="236"/>
      <c r="U215" s="179"/>
      <c r="V215" s="180"/>
    </row>
    <row r="216" spans="2:24" s="54" customFormat="1" x14ac:dyDescent="0.25">
      <c r="B216" s="575" t="s">
        <v>82</v>
      </c>
      <c r="C216" s="575"/>
      <c r="D216" s="91"/>
      <c r="E216" s="91"/>
      <c r="F216" s="93"/>
      <c r="G216" s="202"/>
      <c r="H216" s="93"/>
      <c r="I216" s="93"/>
      <c r="J216" s="93"/>
      <c r="K216" s="93"/>
      <c r="L216" s="94"/>
      <c r="M216" s="95"/>
      <c r="N216" s="93"/>
      <c r="O216" s="171"/>
      <c r="P216" s="172"/>
      <c r="Q216" s="91"/>
      <c r="R216" s="234"/>
      <c r="S216" s="234"/>
      <c r="T216" s="91"/>
      <c r="U216" s="134"/>
      <c r="V216" s="135"/>
    </row>
    <row r="217" spans="2:24" x14ac:dyDescent="0.25">
      <c r="B217" s="226" t="s">
        <v>50</v>
      </c>
      <c r="C217" s="227" t="s">
        <v>0</v>
      </c>
      <c r="D217" s="227" t="s">
        <v>140</v>
      </c>
      <c r="E217" s="228" t="s">
        <v>1</v>
      </c>
      <c r="F217" s="228" t="s">
        <v>11</v>
      </c>
      <c r="G217" s="228" t="s">
        <v>2</v>
      </c>
      <c r="H217" s="228" t="s">
        <v>3</v>
      </c>
      <c r="I217" s="228" t="s">
        <v>4</v>
      </c>
      <c r="J217" s="228" t="s">
        <v>6</v>
      </c>
      <c r="K217" s="228" t="s">
        <v>83</v>
      </c>
      <c r="L217" s="228" t="s">
        <v>8</v>
      </c>
      <c r="M217" s="228" t="s">
        <v>115</v>
      </c>
      <c r="N217" s="228" t="s">
        <v>77</v>
      </c>
      <c r="O217" s="228" t="s">
        <v>316</v>
      </c>
      <c r="P217" s="228" t="s">
        <v>414</v>
      </c>
      <c r="Q217" s="228" t="s">
        <v>78</v>
      </c>
      <c r="R217" s="228" t="s">
        <v>54</v>
      </c>
      <c r="S217" s="228" t="s">
        <v>55</v>
      </c>
      <c r="T217" s="230" t="s">
        <v>75</v>
      </c>
      <c r="U217" s="247" t="s">
        <v>80</v>
      </c>
      <c r="W217" s="134"/>
      <c r="X217" s="131"/>
    </row>
    <row r="218" spans="2:24" x14ac:dyDescent="0.25">
      <c r="B218" s="213"/>
      <c r="C218" s="78"/>
      <c r="D218" s="142"/>
      <c r="E218" s="78"/>
      <c r="F218" s="118"/>
      <c r="G218" s="81"/>
      <c r="H218" s="190"/>
      <c r="I218" s="81"/>
      <c r="J218" s="362"/>
      <c r="K218" s="241"/>
      <c r="L218" s="81"/>
      <c r="M218" s="76"/>
      <c r="N218" s="261"/>
      <c r="O218" s="362"/>
      <c r="P218" s="362"/>
      <c r="Q218" s="175"/>
      <c r="R218" s="136"/>
      <c r="S218" s="263"/>
      <c r="T218" s="212"/>
      <c r="U218" s="565"/>
      <c r="V218" s="259"/>
    </row>
    <row r="219" spans="2:24" x14ac:dyDescent="0.25">
      <c r="B219" s="213"/>
      <c r="C219" s="78"/>
      <c r="D219" s="78"/>
      <c r="E219" s="78"/>
      <c r="F219" s="118"/>
      <c r="G219" s="81"/>
      <c r="H219" s="512"/>
      <c r="I219" s="81"/>
      <c r="J219" s="81"/>
      <c r="K219" s="241"/>
      <c r="L219" s="81"/>
      <c r="M219" s="76"/>
      <c r="N219" s="80"/>
      <c r="O219" s="77"/>
      <c r="P219" s="77"/>
      <c r="Q219" s="175"/>
      <c r="R219" s="478"/>
      <c r="S219" s="477"/>
      <c r="T219" s="212"/>
      <c r="U219" s="565"/>
      <c r="V219" s="259"/>
    </row>
    <row r="220" spans="2:24" x14ac:dyDescent="0.25">
      <c r="B220" s="213"/>
      <c r="C220" s="78"/>
      <c r="D220" s="142"/>
      <c r="E220" s="78"/>
      <c r="F220" s="118"/>
      <c r="G220" s="81"/>
      <c r="H220" s="190"/>
      <c r="I220" s="362"/>
      <c r="J220" s="362"/>
      <c r="K220" s="241"/>
      <c r="L220" s="81"/>
      <c r="M220" s="76"/>
      <c r="N220" s="261"/>
      <c r="O220" s="362"/>
      <c r="P220" s="362"/>
      <c r="Q220" s="175"/>
      <c r="R220" s="136"/>
      <c r="S220" s="263"/>
      <c r="T220" s="212" t="e">
        <f t="shared" ref="T220:T229" si="563">K220/$K$230</f>
        <v>#DIV/0!</v>
      </c>
      <c r="U220" s="566"/>
      <c r="V220" s="59"/>
    </row>
    <row r="221" spans="2:24" x14ac:dyDescent="0.25">
      <c r="B221" s="213"/>
      <c r="C221" s="78"/>
      <c r="D221" s="78"/>
      <c r="E221" s="78"/>
      <c r="F221" s="118"/>
      <c r="G221" s="81"/>
      <c r="H221" s="512"/>
      <c r="I221" s="81"/>
      <c r="J221" s="81"/>
      <c r="K221" s="241"/>
      <c r="L221" s="81"/>
      <c r="M221" s="76"/>
      <c r="N221" s="80"/>
      <c r="O221" s="77"/>
      <c r="P221" s="77"/>
      <c r="Q221" s="175"/>
      <c r="R221" s="478"/>
      <c r="S221" s="477"/>
      <c r="T221" s="212" t="e">
        <f t="shared" si="563"/>
        <v>#DIV/0!</v>
      </c>
      <c r="U221" s="566"/>
      <c r="V221" s="59"/>
    </row>
    <row r="222" spans="2:24" x14ac:dyDescent="0.25">
      <c r="B222" s="213"/>
      <c r="C222" s="78"/>
      <c r="D222" s="142"/>
      <c r="E222" s="78"/>
      <c r="F222" s="118"/>
      <c r="G222" s="81"/>
      <c r="H222" s="190"/>
      <c r="I222" s="362"/>
      <c r="J222" s="362"/>
      <c r="K222" s="241"/>
      <c r="L222" s="81"/>
      <c r="M222" s="76"/>
      <c r="N222" s="261"/>
      <c r="O222" s="362"/>
      <c r="P222" s="362"/>
      <c r="Q222" s="175"/>
      <c r="R222" s="136"/>
      <c r="S222" s="263"/>
      <c r="T222" s="212" t="e">
        <f t="shared" si="563"/>
        <v>#DIV/0!</v>
      </c>
      <c r="U222" s="394"/>
    </row>
    <row r="223" spans="2:24" x14ac:dyDescent="0.25">
      <c r="B223" s="213"/>
      <c r="C223" s="78"/>
      <c r="D223" s="78"/>
      <c r="E223" s="78"/>
      <c r="F223" s="118"/>
      <c r="G223" s="81"/>
      <c r="H223" s="512"/>
      <c r="I223" s="81"/>
      <c r="J223" s="81"/>
      <c r="K223" s="241"/>
      <c r="L223" s="81"/>
      <c r="M223" s="76"/>
      <c r="N223" s="80"/>
      <c r="O223" s="77"/>
      <c r="P223" s="77"/>
      <c r="Q223" s="175"/>
      <c r="R223" s="478"/>
      <c r="S223" s="477"/>
      <c r="T223" s="212" t="e">
        <f t="shared" si="563"/>
        <v>#DIV/0!</v>
      </c>
      <c r="U223" s="394"/>
    </row>
    <row r="224" spans="2:24" x14ac:dyDescent="0.25">
      <c r="B224" s="213"/>
      <c r="C224" s="78"/>
      <c r="D224" s="142"/>
      <c r="E224" s="78"/>
      <c r="F224" s="118"/>
      <c r="G224" s="81"/>
      <c r="H224" s="190"/>
      <c r="I224" s="362"/>
      <c r="J224" s="362"/>
      <c r="K224" s="241"/>
      <c r="L224" s="81"/>
      <c r="M224" s="76"/>
      <c r="N224" s="261"/>
      <c r="O224" s="362"/>
      <c r="P224" s="362"/>
      <c r="Q224" s="175"/>
      <c r="R224" s="136"/>
      <c r="S224" s="263"/>
      <c r="T224" s="212" t="e">
        <f t="shared" si="563"/>
        <v>#DIV/0!</v>
      </c>
      <c r="U224" s="394"/>
    </row>
    <row r="225" spans="2:21" x14ac:dyDescent="0.25">
      <c r="B225" s="213"/>
      <c r="C225" s="78"/>
      <c r="D225" s="78"/>
      <c r="E225" s="78"/>
      <c r="F225" s="118"/>
      <c r="G225" s="81"/>
      <c r="H225" s="512"/>
      <c r="I225" s="81"/>
      <c r="J225" s="81"/>
      <c r="K225" s="241"/>
      <c r="L225" s="81"/>
      <c r="M225" s="76"/>
      <c r="N225" s="80"/>
      <c r="O225" s="77"/>
      <c r="P225" s="77"/>
      <c r="Q225" s="175"/>
      <c r="R225" s="478"/>
      <c r="S225" s="477"/>
      <c r="T225" s="212" t="e">
        <f t="shared" si="563"/>
        <v>#DIV/0!</v>
      </c>
      <c r="U225" s="394"/>
    </row>
    <row r="226" spans="2:21" x14ac:dyDescent="0.25">
      <c r="B226" s="213"/>
      <c r="C226" s="78"/>
      <c r="D226" s="78"/>
      <c r="E226" s="78"/>
      <c r="F226" s="118"/>
      <c r="G226" s="81"/>
      <c r="H226" s="190"/>
      <c r="I226" s="81"/>
      <c r="J226" s="81"/>
      <c r="K226" s="241"/>
      <c r="L226" s="81"/>
      <c r="M226" s="76"/>
      <c r="N226" s="80"/>
      <c r="O226" s="362"/>
      <c r="P226" s="362"/>
      <c r="Q226" s="175"/>
      <c r="R226" s="136"/>
      <c r="S226" s="477"/>
      <c r="T226" s="212" t="e">
        <f t="shared" si="563"/>
        <v>#DIV/0!</v>
      </c>
      <c r="U226" s="394"/>
    </row>
    <row r="227" spans="2:21" x14ac:dyDescent="0.25">
      <c r="B227" s="213"/>
      <c r="C227" s="78"/>
      <c r="D227" s="78"/>
      <c r="E227" s="78"/>
      <c r="F227" s="118"/>
      <c r="G227" s="81"/>
      <c r="H227" s="190"/>
      <c r="I227" s="81"/>
      <c r="J227" s="81"/>
      <c r="K227" s="241"/>
      <c r="L227" s="81"/>
      <c r="M227" s="76"/>
      <c r="N227" s="80"/>
      <c r="O227" s="362"/>
      <c r="P227" s="362"/>
      <c r="Q227" s="175"/>
      <c r="R227" s="136"/>
      <c r="S227" s="477"/>
      <c r="T227" s="212" t="e">
        <f t="shared" si="563"/>
        <v>#DIV/0!</v>
      </c>
      <c r="U227" s="394"/>
    </row>
    <row r="228" spans="2:21" x14ac:dyDescent="0.25">
      <c r="B228" s="213"/>
      <c r="C228" s="78"/>
      <c r="D228" s="78"/>
      <c r="E228" s="78"/>
      <c r="F228" s="118"/>
      <c r="G228" s="81"/>
      <c r="H228" s="190"/>
      <c r="I228" s="81"/>
      <c r="J228" s="81"/>
      <c r="K228" s="241"/>
      <c r="L228" s="81"/>
      <c r="M228" s="76"/>
      <c r="N228" s="77"/>
      <c r="O228" s="362"/>
      <c r="P228" s="362"/>
      <c r="Q228" s="175"/>
      <c r="R228" s="136"/>
      <c r="S228" s="263"/>
      <c r="T228" s="212" t="e">
        <f t="shared" si="563"/>
        <v>#DIV/0!</v>
      </c>
      <c r="U228" s="394"/>
    </row>
    <row r="229" spans="2:21" x14ac:dyDescent="0.25">
      <c r="B229" s="213"/>
      <c r="C229" s="78"/>
      <c r="D229" s="78"/>
      <c r="E229" s="78"/>
      <c r="F229" s="118"/>
      <c r="G229" s="81"/>
      <c r="H229" s="190"/>
      <c r="I229" s="81"/>
      <c r="J229" s="81"/>
      <c r="K229" s="241"/>
      <c r="L229" s="81"/>
      <c r="M229" s="76"/>
      <c r="N229" s="80"/>
      <c r="O229" s="362"/>
      <c r="P229" s="362"/>
      <c r="Q229" s="175"/>
      <c r="R229" s="136"/>
      <c r="S229" s="263"/>
      <c r="T229" s="212" t="e">
        <f t="shared" si="563"/>
        <v>#DIV/0!</v>
      </c>
      <c r="U229" s="394"/>
    </row>
    <row r="230" spans="2:21" x14ac:dyDescent="0.25">
      <c r="B230" s="89"/>
      <c r="C230" s="89"/>
      <c r="D230" s="89"/>
      <c r="E230" s="89"/>
      <c r="F230" s="89"/>
      <c r="G230" s="89"/>
      <c r="H230" s="264">
        <f>SUM(H218:H229)</f>
        <v>0</v>
      </c>
      <c r="I230" s="264">
        <f>SUM(I218:I229)</f>
        <v>0</v>
      </c>
      <c r="J230" s="89"/>
      <c r="K230" s="264">
        <f>SUM(K218:K229)</f>
        <v>0</v>
      </c>
      <c r="L230" s="89"/>
      <c r="M230" s="264">
        <f>SUM(M218:M229)</f>
        <v>0</v>
      </c>
      <c r="N230" s="485" t="e">
        <f>M230/K230</f>
        <v>#DIV/0!</v>
      </c>
      <c r="O230" s="534"/>
      <c r="P230" s="534"/>
      <c r="Q230" s="538"/>
      <c r="R230" s="89"/>
      <c r="S230" s="89"/>
      <c r="T230" s="452" t="e">
        <f>SUBTOTAL(109,Table18[Portfolio])</f>
        <v>#DIV/0!</v>
      </c>
    </row>
    <row r="231" spans="2:21" x14ac:dyDescent="0.25">
      <c r="M231" s="262"/>
    </row>
    <row r="238" spans="2:21" x14ac:dyDescent="0.25">
      <c r="L238" s="290"/>
    </row>
  </sheetData>
  <mergeCells count="3">
    <mergeCell ref="L5:Q5"/>
    <mergeCell ref="B18:C18"/>
    <mergeCell ref="B216:C216"/>
  </mergeCells>
  <pageMargins left="0.7" right="0.7" top="0.75" bottom="0.75" header="0.3" footer="0.3"/>
  <pageSetup paperSize="9" orientation="portrait" horizontalDpi="300" verticalDpi="300"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C5A4-97B0-4CE4-9DBB-FD63F329ED1F}">
  <sheetPr>
    <tabColor rgb="FF00B050"/>
  </sheetPr>
  <dimension ref="C3:T193"/>
  <sheetViews>
    <sheetView showGridLines="0" topLeftCell="C175" zoomScale="80" zoomScaleNormal="80" workbookViewId="0">
      <selection activeCell="L192" sqref="L192"/>
    </sheetView>
  </sheetViews>
  <sheetFormatPr defaultColWidth="9.140625" defaultRowHeight="15" x14ac:dyDescent="0.25"/>
  <cols>
    <col min="1" max="2" width="9.140625" style="39"/>
    <col min="3" max="3" width="11.28515625" style="153" customWidth="1"/>
    <col min="4" max="4" width="11.28515625" style="39" customWidth="1"/>
    <col min="5" max="5" width="56.42578125" style="39" bestFit="1" customWidth="1"/>
    <col min="6" max="6" width="16.42578125" style="39" bestFit="1" customWidth="1"/>
    <col min="7" max="7" width="44.7109375" style="153" bestFit="1" customWidth="1"/>
    <col min="8" max="10" width="11.28515625" style="39" customWidth="1"/>
    <col min="11" max="11" width="18.140625" style="39" bestFit="1" customWidth="1"/>
    <col min="12" max="12" width="21.140625" style="39" bestFit="1" customWidth="1"/>
    <col min="13" max="13" width="18.140625" style="39" bestFit="1" customWidth="1"/>
    <col min="14" max="14" width="16.42578125" style="301" customWidth="1"/>
    <col min="15" max="15" width="10.7109375" style="39" bestFit="1" customWidth="1"/>
    <col min="16" max="16" width="14.85546875" style="39" bestFit="1" customWidth="1"/>
    <col min="17" max="17" width="9.85546875" style="301" bestFit="1" customWidth="1"/>
    <col min="18" max="18" width="9" style="39" bestFit="1" customWidth="1"/>
    <col min="19" max="19" width="10.7109375" style="39" bestFit="1" customWidth="1"/>
    <col min="20" max="20" width="10.28515625" style="39" bestFit="1" customWidth="1"/>
    <col min="21" max="21" width="12.140625" style="39" bestFit="1" customWidth="1"/>
    <col min="22" max="16384" width="9.140625" style="39"/>
  </cols>
  <sheetData>
    <row r="3" spans="3:18" x14ac:dyDescent="0.25">
      <c r="C3" s="250" t="s">
        <v>50</v>
      </c>
      <c r="D3" s="251" t="s">
        <v>17</v>
      </c>
      <c r="E3" s="251" t="s">
        <v>156</v>
      </c>
      <c r="F3" s="251" t="s">
        <v>11</v>
      </c>
      <c r="G3" s="251" t="s">
        <v>140</v>
      </c>
      <c r="H3" s="251" t="s">
        <v>157</v>
      </c>
      <c r="I3" s="251" t="s">
        <v>3</v>
      </c>
      <c r="J3" s="251" t="s">
        <v>4</v>
      </c>
      <c r="K3" s="251" t="s">
        <v>6</v>
      </c>
      <c r="L3" s="251" t="s">
        <v>28</v>
      </c>
      <c r="M3" s="325" t="s">
        <v>158</v>
      </c>
      <c r="N3" s="326" t="s">
        <v>122</v>
      </c>
      <c r="O3" s="325" t="s">
        <v>192</v>
      </c>
      <c r="P3" s="327" t="s">
        <v>178</v>
      </c>
      <c r="Q3" s="328" t="s">
        <v>123</v>
      </c>
      <c r="R3" s="329" t="s">
        <v>193</v>
      </c>
    </row>
    <row r="4" spans="3:18" x14ac:dyDescent="0.25">
      <c r="C4" s="213">
        <v>1</v>
      </c>
      <c r="D4" s="302" t="s">
        <v>159</v>
      </c>
      <c r="E4" s="78" t="e" vm="7">
        <v>#VALUE!</v>
      </c>
      <c r="F4" s="118" t="s">
        <v>13</v>
      </c>
      <c r="G4" s="118" t="s">
        <v>37</v>
      </c>
      <c r="H4" s="81">
        <v>255</v>
      </c>
      <c r="I4" s="81">
        <v>100</v>
      </c>
      <c r="J4" s="81">
        <f>8.88*2+1</f>
        <v>18.760000000000002</v>
      </c>
      <c r="K4" s="81">
        <f t="shared" ref="K4:K35" si="0">((H4*I4)+J4)/I4</f>
        <v>255.18759999999997</v>
      </c>
      <c r="L4" s="81">
        <f t="shared" ref="L4:L35" si="1">K4*I4</f>
        <v>25518.76</v>
      </c>
      <c r="M4" s="66">
        <v>255.37</v>
      </c>
      <c r="N4" s="317">
        <f>(M4-K4)*I4</f>
        <v>18.240000000002965</v>
      </c>
      <c r="O4" s="318">
        <f>N4/L4</f>
        <v>7.1476827243968622E-4</v>
      </c>
      <c r="P4" s="319"/>
      <c r="Q4" s="320"/>
      <c r="R4" s="324"/>
    </row>
    <row r="5" spans="3:18" x14ac:dyDescent="0.25">
      <c r="C5" s="213">
        <v>2</v>
      </c>
      <c r="D5" s="303"/>
      <c r="E5" s="78" t="e" vm="7">
        <v>#VALUE!</v>
      </c>
      <c r="F5" s="118" t="s">
        <v>13</v>
      </c>
      <c r="G5" s="118" t="s">
        <v>37</v>
      </c>
      <c r="H5" s="81">
        <v>255</v>
      </c>
      <c r="I5" s="81">
        <v>100</v>
      </c>
      <c r="J5" s="81">
        <f>8.88*2+1</f>
        <v>18.760000000000002</v>
      </c>
      <c r="K5" s="81">
        <f t="shared" si="0"/>
        <v>255.18759999999997</v>
      </c>
      <c r="L5" s="81">
        <f t="shared" si="1"/>
        <v>25518.76</v>
      </c>
      <c r="M5" s="66">
        <v>255.61</v>
      </c>
      <c r="N5" s="317">
        <f>(M5-K5)*I5</f>
        <v>42.240000000003874</v>
      </c>
      <c r="O5" s="318">
        <f>N5/L5</f>
        <v>1.6552528414391561E-3</v>
      </c>
      <c r="P5" s="319"/>
      <c r="Q5" s="320"/>
      <c r="R5" s="324"/>
    </row>
    <row r="6" spans="3:18" x14ac:dyDescent="0.25">
      <c r="C6" s="213">
        <v>3</v>
      </c>
      <c r="D6" s="303"/>
      <c r="E6" s="78" t="e" vm="7">
        <v>#VALUE!</v>
      </c>
      <c r="F6" s="118" t="s">
        <v>13</v>
      </c>
      <c r="G6" s="118" t="s">
        <v>37</v>
      </c>
      <c r="H6" s="81">
        <v>255.5</v>
      </c>
      <c r="I6" s="81">
        <v>100</v>
      </c>
      <c r="J6" s="81">
        <f>8.88*2+1</f>
        <v>18.760000000000002</v>
      </c>
      <c r="K6" s="81">
        <f t="shared" si="0"/>
        <v>255.68759999999997</v>
      </c>
      <c r="L6" s="81">
        <f t="shared" si="1"/>
        <v>25568.76</v>
      </c>
      <c r="M6" s="66"/>
      <c r="N6" s="317"/>
      <c r="O6" s="318"/>
      <c r="P6" s="319">
        <v>253.11</v>
      </c>
      <c r="Q6" s="320">
        <f>(P6-K6)*I6</f>
        <v>-257.75999999999613</v>
      </c>
      <c r="R6" s="324">
        <f>Q6/L6</f>
        <v>-1.0081052033809858E-2</v>
      </c>
    </row>
    <row r="7" spans="3:18" x14ac:dyDescent="0.25">
      <c r="C7" s="213">
        <v>4</v>
      </c>
      <c r="D7" s="303"/>
      <c r="E7" s="78" t="e" vm="7">
        <v>#VALUE!</v>
      </c>
      <c r="F7" s="118" t="s">
        <v>13</v>
      </c>
      <c r="G7" s="118" t="s">
        <v>37</v>
      </c>
      <c r="H7" s="81">
        <v>254</v>
      </c>
      <c r="I7" s="81">
        <v>150</v>
      </c>
      <c r="J7" s="81">
        <f>8.88*2+1</f>
        <v>18.760000000000002</v>
      </c>
      <c r="K7" s="81">
        <f t="shared" si="0"/>
        <v>254.12506666666667</v>
      </c>
      <c r="L7" s="81">
        <f t="shared" si="1"/>
        <v>38118.76</v>
      </c>
      <c r="M7" s="66"/>
      <c r="N7" s="317"/>
      <c r="O7" s="318"/>
      <c r="P7" s="319">
        <v>251.98</v>
      </c>
      <c r="Q7" s="320">
        <f>(P7-K7)*I7</f>
        <v>-321.76000000000187</v>
      </c>
      <c r="R7" s="324">
        <f>Q7/L7</f>
        <v>-8.4409881118903615E-3</v>
      </c>
    </row>
    <row r="8" spans="3:18" x14ac:dyDescent="0.25">
      <c r="C8" s="213">
        <v>5</v>
      </c>
      <c r="D8" s="303"/>
      <c r="E8" s="78" t="e" vm="29">
        <v>#VALUE!</v>
      </c>
      <c r="F8" s="118" t="s">
        <v>13</v>
      </c>
      <c r="G8" s="118" t="s">
        <v>39</v>
      </c>
      <c r="H8" s="81">
        <v>63</v>
      </c>
      <c r="I8" s="81">
        <v>200</v>
      </c>
      <c r="J8" s="81">
        <f>8.88*4+2</f>
        <v>37.520000000000003</v>
      </c>
      <c r="K8" s="81">
        <f t="shared" si="0"/>
        <v>63.187600000000003</v>
      </c>
      <c r="L8" s="81">
        <f t="shared" si="1"/>
        <v>12637.52</v>
      </c>
      <c r="M8" s="66"/>
      <c r="N8" s="317"/>
      <c r="O8" s="318"/>
      <c r="P8" s="319">
        <v>63</v>
      </c>
      <c r="Q8" s="320">
        <f>(P8-K8)*I8</f>
        <v>-37.520000000000664</v>
      </c>
      <c r="R8" s="324">
        <f>Q8/L8</f>
        <v>-2.9689369433243754E-3</v>
      </c>
    </row>
    <row r="9" spans="3:18" x14ac:dyDescent="0.25">
      <c r="C9" s="213">
        <v>6</v>
      </c>
      <c r="D9" s="302" t="s">
        <v>112</v>
      </c>
      <c r="E9" s="78" t="e" vm="14">
        <v>#VALUE!</v>
      </c>
      <c r="F9" s="118" t="s">
        <v>13</v>
      </c>
      <c r="G9" s="118" t="s">
        <v>37</v>
      </c>
      <c r="H9" s="81">
        <v>228.13</v>
      </c>
      <c r="I9" s="81">
        <v>150</v>
      </c>
      <c r="J9" s="81">
        <f>8.88*2+1</f>
        <v>18.760000000000002</v>
      </c>
      <c r="K9" s="81">
        <f t="shared" si="0"/>
        <v>228.25506666666669</v>
      </c>
      <c r="L9" s="81">
        <f t="shared" si="1"/>
        <v>34238.26</v>
      </c>
      <c r="M9" s="66">
        <v>229</v>
      </c>
      <c r="N9" s="317">
        <f>(M9-K9)*I9</f>
        <v>111.73999999999609</v>
      </c>
      <c r="O9" s="318">
        <f>N9/L9</f>
        <v>3.2636004282926784E-3</v>
      </c>
      <c r="P9" s="319"/>
      <c r="Q9" s="320"/>
      <c r="R9" s="324"/>
    </row>
    <row r="10" spans="3:18" x14ac:dyDescent="0.25">
      <c r="C10" s="213">
        <v>7</v>
      </c>
      <c r="D10" s="303"/>
      <c r="E10" s="78" t="e" vm="14">
        <v>#VALUE!</v>
      </c>
      <c r="F10" s="118" t="s">
        <v>13</v>
      </c>
      <c r="G10" s="118" t="s">
        <v>37</v>
      </c>
      <c r="H10" s="81">
        <v>227.15</v>
      </c>
      <c r="I10" s="81">
        <v>150</v>
      </c>
      <c r="J10" s="81">
        <f>8.88*2+1</f>
        <v>18.760000000000002</v>
      </c>
      <c r="K10" s="81">
        <f t="shared" si="0"/>
        <v>227.27506666666667</v>
      </c>
      <c r="L10" s="81">
        <f t="shared" si="1"/>
        <v>34091.26</v>
      </c>
      <c r="M10" s="66">
        <v>227.59</v>
      </c>
      <c r="N10" s="317">
        <f>(M10-K10)*I10</f>
        <v>47.239999999999327</v>
      </c>
      <c r="O10" s="318">
        <f>N10/L10</f>
        <v>1.3856924032728424E-3</v>
      </c>
      <c r="P10" s="319"/>
      <c r="Q10" s="320"/>
      <c r="R10" s="324"/>
    </row>
    <row r="11" spans="3:18" x14ac:dyDescent="0.25">
      <c r="C11" s="213">
        <v>8</v>
      </c>
      <c r="D11" s="303"/>
      <c r="E11" s="78" t="e" vm="14">
        <v>#VALUE!</v>
      </c>
      <c r="F11" s="118" t="s">
        <v>13</v>
      </c>
      <c r="G11" s="118" t="s">
        <v>37</v>
      </c>
      <c r="H11" s="81">
        <v>227.95</v>
      </c>
      <c r="I11" s="81">
        <v>150</v>
      </c>
      <c r="J11" s="81">
        <f>8.88*2+1</f>
        <v>18.760000000000002</v>
      </c>
      <c r="K11" s="81">
        <f t="shared" si="0"/>
        <v>228.07506666666669</v>
      </c>
      <c r="L11" s="81">
        <f t="shared" si="1"/>
        <v>34211.26</v>
      </c>
      <c r="M11" s="66">
        <v>228.66</v>
      </c>
      <c r="N11" s="317">
        <f>(M11-K11)*I11</f>
        <v>87.739999999996598</v>
      </c>
      <c r="O11" s="318">
        <f>N11/L11</f>
        <v>2.5646526903714329E-3</v>
      </c>
      <c r="P11" s="319"/>
      <c r="Q11" s="320"/>
      <c r="R11" s="324"/>
    </row>
    <row r="12" spans="3:18" x14ac:dyDescent="0.25">
      <c r="C12" s="213">
        <v>9</v>
      </c>
      <c r="D12" s="303"/>
      <c r="E12" s="78" t="e" vm="14">
        <v>#VALUE!</v>
      </c>
      <c r="F12" s="118" t="s">
        <v>13</v>
      </c>
      <c r="G12" s="118" t="s">
        <v>37</v>
      </c>
      <c r="H12" s="81">
        <v>228.45</v>
      </c>
      <c r="I12" s="81">
        <v>150</v>
      </c>
      <c r="J12" s="81">
        <f>8.88*2+1</f>
        <v>18.760000000000002</v>
      </c>
      <c r="K12" s="81">
        <f t="shared" si="0"/>
        <v>228.57506666666669</v>
      </c>
      <c r="L12" s="81">
        <f t="shared" si="1"/>
        <v>34286.26</v>
      </c>
      <c r="M12" s="66">
        <v>228.6</v>
      </c>
      <c r="N12" s="317">
        <f>(M12-K12)*I12</f>
        <v>3.7399999999962574</v>
      </c>
      <c r="O12" s="318">
        <f>N12/L12</f>
        <v>1.0908159711780337E-4</v>
      </c>
      <c r="P12" s="319"/>
      <c r="Q12" s="320"/>
      <c r="R12" s="324"/>
    </row>
    <row r="13" spans="3:18" x14ac:dyDescent="0.25">
      <c r="C13" s="213">
        <v>10</v>
      </c>
      <c r="D13" s="302" t="s">
        <v>113</v>
      </c>
      <c r="E13" s="78" t="e" vm="1">
        <v>#VALUE!</v>
      </c>
      <c r="F13" s="118" t="s">
        <v>12</v>
      </c>
      <c r="G13" s="118" t="s">
        <v>37</v>
      </c>
      <c r="H13" s="81">
        <v>234.2</v>
      </c>
      <c r="I13" s="81">
        <v>1500</v>
      </c>
      <c r="J13" s="81">
        <f>(H13*I13+M13*I13)*0.12%+(H13*I13+M13*I13)*(0.1%+0.002%+0.0027%+0.005%)</f>
        <v>806.9360999999999</v>
      </c>
      <c r="K13" s="81">
        <f t="shared" si="0"/>
        <v>234.7379574</v>
      </c>
      <c r="L13" s="81">
        <f t="shared" si="1"/>
        <v>352106.93609999999</v>
      </c>
      <c r="M13" s="66"/>
      <c r="N13" s="317"/>
      <c r="O13" s="318"/>
      <c r="P13" s="319">
        <v>234.6</v>
      </c>
      <c r="Q13" s="320">
        <f>(P13-K13)*I13</f>
        <v>-206.93610000000717</v>
      </c>
      <c r="R13" s="324">
        <f>Q13/L13</f>
        <v>-5.8770810450958105E-4</v>
      </c>
    </row>
    <row r="14" spans="3:18" x14ac:dyDescent="0.25">
      <c r="C14" s="213">
        <v>11</v>
      </c>
      <c r="D14" s="303"/>
      <c r="E14" s="78" t="e" vm="14">
        <v>#VALUE!</v>
      </c>
      <c r="F14" s="118" t="s">
        <v>13</v>
      </c>
      <c r="G14" s="118" t="s">
        <v>37</v>
      </c>
      <c r="H14" s="81">
        <v>243.81</v>
      </c>
      <c r="I14" s="81">
        <v>150</v>
      </c>
      <c r="J14" s="81">
        <f>8.88*2+1</f>
        <v>18.760000000000002</v>
      </c>
      <c r="K14" s="81">
        <f t="shared" si="0"/>
        <v>243.93506666666667</v>
      </c>
      <c r="L14" s="81">
        <f t="shared" si="1"/>
        <v>36590.26</v>
      </c>
      <c r="M14" s="66">
        <v>244</v>
      </c>
      <c r="N14" s="317">
        <f>(M14-K14)*I14</f>
        <v>9.739999999999327</v>
      </c>
      <c r="O14" s="318">
        <f>N14/L14</f>
        <v>2.661910574015961E-4</v>
      </c>
      <c r="P14" s="319"/>
      <c r="Q14" s="320"/>
      <c r="R14" s="324"/>
    </row>
    <row r="15" spans="3:18" x14ac:dyDescent="0.25">
      <c r="C15" s="213">
        <v>12</v>
      </c>
      <c r="D15" s="303"/>
      <c r="E15" s="78" t="e" vm="14">
        <v>#VALUE!</v>
      </c>
      <c r="F15" s="118" t="s">
        <v>13</v>
      </c>
      <c r="G15" s="118" t="s">
        <v>37</v>
      </c>
      <c r="H15" s="81">
        <v>242</v>
      </c>
      <c r="I15" s="81">
        <v>50</v>
      </c>
      <c r="J15" s="81">
        <f>8.88*2+1</f>
        <v>18.760000000000002</v>
      </c>
      <c r="K15" s="81">
        <f t="shared" si="0"/>
        <v>242.37520000000001</v>
      </c>
      <c r="L15" s="81">
        <f t="shared" si="1"/>
        <v>12118.76</v>
      </c>
      <c r="M15" s="66">
        <v>244</v>
      </c>
      <c r="N15" s="317">
        <f>(M15-K15)*I15</f>
        <v>81.239999999999668</v>
      </c>
      <c r="O15" s="318">
        <f>N15/L15</f>
        <v>6.7036561496390448E-3</v>
      </c>
      <c r="P15" s="319"/>
      <c r="Q15" s="320"/>
      <c r="R15" s="324"/>
    </row>
    <row r="16" spans="3:18" x14ac:dyDescent="0.25">
      <c r="C16" s="213">
        <v>13</v>
      </c>
      <c r="D16" s="302" t="s">
        <v>116</v>
      </c>
      <c r="E16" s="78" t="e" vm="1">
        <v>#VALUE!</v>
      </c>
      <c r="F16" s="118" t="s">
        <v>12</v>
      </c>
      <c r="G16" s="118" t="s">
        <v>37</v>
      </c>
      <c r="H16" s="81">
        <v>242.8</v>
      </c>
      <c r="I16" s="81">
        <v>1000</v>
      </c>
      <c r="J16" s="81">
        <f>(H16*I16+P16*I16)*0.12%+(H16*I16+P16*I16)*(0.1%+0.002%+0.0027%+0.005%)</f>
        <v>1108.9915999999998</v>
      </c>
      <c r="K16" s="81">
        <f t="shared" si="0"/>
        <v>243.90899160000001</v>
      </c>
      <c r="L16" s="81">
        <f t="shared" si="1"/>
        <v>243908.99160000001</v>
      </c>
      <c r="M16" s="66"/>
      <c r="N16" s="317"/>
      <c r="O16" s="318"/>
      <c r="P16" s="319">
        <v>240</v>
      </c>
      <c r="Q16" s="320">
        <f>(P16-K16)*I16/7.8</f>
        <v>-501.15276923077022</v>
      </c>
      <c r="R16" s="324">
        <f>Q16/L16</f>
        <v>-2.0546711539549908E-3</v>
      </c>
    </row>
    <row r="17" spans="3:18" x14ac:dyDescent="0.25">
      <c r="C17" s="213">
        <v>14</v>
      </c>
      <c r="D17" s="303"/>
      <c r="E17" s="78" t="e" vm="1">
        <v>#VALUE!</v>
      </c>
      <c r="F17" s="118" t="s">
        <v>12</v>
      </c>
      <c r="G17" s="118" t="s">
        <v>37</v>
      </c>
      <c r="H17" s="81">
        <v>240</v>
      </c>
      <c r="I17" s="81">
        <v>600</v>
      </c>
      <c r="J17" s="81">
        <f>(H17*I17+P17*I17)*0.12%+(H17*I17+P17*I17)*(0.1%+0.002%+0.0027%+0.005%)</f>
        <v>662.63855999999987</v>
      </c>
      <c r="K17" s="81">
        <f t="shared" si="0"/>
        <v>241.1043976</v>
      </c>
      <c r="L17" s="81">
        <f t="shared" si="1"/>
        <v>144662.63855999999</v>
      </c>
      <c r="M17" s="66"/>
      <c r="N17" s="317"/>
      <c r="O17" s="318"/>
      <c r="P17" s="319">
        <v>240.8</v>
      </c>
      <c r="Q17" s="320">
        <f>(P17-K17)*I17/7.8</f>
        <v>-23.415199999999022</v>
      </c>
      <c r="R17" s="324">
        <f>Q17/L17</f>
        <v>-1.6186072805721277E-4</v>
      </c>
    </row>
    <row r="18" spans="3:18" x14ac:dyDescent="0.25">
      <c r="C18" s="213">
        <v>15</v>
      </c>
      <c r="D18" s="303"/>
      <c r="E18" s="78" t="e" vm="1">
        <v>#VALUE!</v>
      </c>
      <c r="F18" s="118" t="s">
        <v>12</v>
      </c>
      <c r="G18" s="118" t="s">
        <v>37</v>
      </c>
      <c r="H18" s="81">
        <v>239.8</v>
      </c>
      <c r="I18" s="81">
        <v>500</v>
      </c>
      <c r="J18" s="81">
        <f>(H18*I18+P18*I18)*0.12%+(H18*I18+P18*I18)*(0.1%+0.002%+0.0027%+0.005%)</f>
        <v>551.96909999999991</v>
      </c>
      <c r="K18" s="81">
        <f t="shared" si="0"/>
        <v>240.9039382</v>
      </c>
      <c r="L18" s="81">
        <f t="shared" si="1"/>
        <v>120451.9691</v>
      </c>
      <c r="M18" s="66"/>
      <c r="N18" s="317"/>
      <c r="O18" s="318"/>
      <c r="P18" s="319">
        <v>240.8</v>
      </c>
      <c r="Q18" s="320">
        <f>(P18-K18)*I18/7.8</f>
        <v>-6.6627051282043297</v>
      </c>
      <c r="R18" s="324">
        <f>Q18/L18</f>
        <v>-5.5314206799499548E-5</v>
      </c>
    </row>
    <row r="19" spans="3:18" x14ac:dyDescent="0.25">
      <c r="C19" s="213">
        <v>16</v>
      </c>
      <c r="D19" s="303"/>
      <c r="E19" s="78" t="e" vm="14">
        <v>#VALUE!</v>
      </c>
      <c r="F19" s="118" t="s">
        <v>13</v>
      </c>
      <c r="G19" s="118" t="s">
        <v>37</v>
      </c>
      <c r="H19" s="81">
        <v>243.9</v>
      </c>
      <c r="I19" s="81">
        <v>100</v>
      </c>
      <c r="J19" s="81">
        <f t="shared" ref="J19:J24" si="2">8.88*2+1</f>
        <v>18.760000000000002</v>
      </c>
      <c r="K19" s="81">
        <f t="shared" si="0"/>
        <v>244.08759999999998</v>
      </c>
      <c r="L19" s="81">
        <f t="shared" si="1"/>
        <v>24408.76</v>
      </c>
      <c r="M19" s="66">
        <v>244.21</v>
      </c>
      <c r="N19" s="317">
        <f>(M19-K19)*I19</f>
        <v>12.240000000002738</v>
      </c>
      <c r="O19" s="318">
        <f>N19/L19</f>
        <v>5.0145931214870142E-4</v>
      </c>
      <c r="P19" s="319"/>
      <c r="Q19" s="320"/>
      <c r="R19" s="324"/>
    </row>
    <row r="20" spans="3:18" x14ac:dyDescent="0.25">
      <c r="C20" s="213">
        <v>17</v>
      </c>
      <c r="D20" s="303"/>
      <c r="E20" s="78" t="e" vm="79">
        <v>#VALUE!</v>
      </c>
      <c r="F20" s="118" t="s">
        <v>13</v>
      </c>
      <c r="G20" s="118" t="s">
        <v>38</v>
      </c>
      <c r="H20" s="81">
        <v>391.15</v>
      </c>
      <c r="I20" s="81">
        <v>60</v>
      </c>
      <c r="J20" s="81">
        <f t="shared" si="2"/>
        <v>18.760000000000002</v>
      </c>
      <c r="K20" s="81">
        <f t="shared" si="0"/>
        <v>391.46266666666662</v>
      </c>
      <c r="L20" s="81">
        <f t="shared" si="1"/>
        <v>23487.759999999998</v>
      </c>
      <c r="M20" s="66">
        <v>391.58</v>
      </c>
      <c r="N20" s="317">
        <f>(M20-K20)*I20</f>
        <v>7.0400000000017826</v>
      </c>
      <c r="O20" s="318">
        <f>N20/L20</f>
        <v>2.9973058307824086E-4</v>
      </c>
      <c r="P20" s="319"/>
      <c r="Q20" s="320"/>
      <c r="R20" s="324"/>
    </row>
    <row r="21" spans="3:18" x14ac:dyDescent="0.25">
      <c r="C21" s="213">
        <v>18</v>
      </c>
      <c r="D21" s="303"/>
      <c r="E21" s="78" t="e" vm="14">
        <v>#VALUE!</v>
      </c>
      <c r="F21" s="118" t="s">
        <v>13</v>
      </c>
      <c r="G21" s="118" t="s">
        <v>37</v>
      </c>
      <c r="H21" s="81">
        <v>243.02</v>
      </c>
      <c r="I21" s="81">
        <v>100</v>
      </c>
      <c r="J21" s="81">
        <f t="shared" si="2"/>
        <v>18.760000000000002</v>
      </c>
      <c r="K21" s="81">
        <f t="shared" si="0"/>
        <v>243.20759999999999</v>
      </c>
      <c r="L21" s="81">
        <f t="shared" si="1"/>
        <v>24320.76</v>
      </c>
      <c r="M21" s="66">
        <v>243.72</v>
      </c>
      <c r="N21" s="317">
        <f>(M21-K21)*I21</f>
        <v>51.240000000001373</v>
      </c>
      <c r="O21" s="318">
        <f>N21/L21</f>
        <v>2.1068420559226513E-3</v>
      </c>
      <c r="P21" s="319"/>
      <c r="Q21" s="320"/>
      <c r="R21" s="324"/>
    </row>
    <row r="22" spans="3:18" x14ac:dyDescent="0.25">
      <c r="C22" s="213">
        <v>19</v>
      </c>
      <c r="D22" s="303"/>
      <c r="E22" s="78" t="e" vm="79">
        <v>#VALUE!</v>
      </c>
      <c r="F22" s="118" t="s">
        <v>13</v>
      </c>
      <c r="G22" s="118" t="s">
        <v>38</v>
      </c>
      <c r="H22" s="81">
        <v>394.1</v>
      </c>
      <c r="I22" s="81">
        <v>60</v>
      </c>
      <c r="J22" s="81">
        <f t="shared" si="2"/>
        <v>18.760000000000002</v>
      </c>
      <c r="K22" s="81">
        <f t="shared" si="0"/>
        <v>394.41266666666667</v>
      </c>
      <c r="L22" s="81">
        <f t="shared" si="1"/>
        <v>23664.76</v>
      </c>
      <c r="M22" s="66"/>
      <c r="N22" s="317"/>
      <c r="O22" s="318"/>
      <c r="P22" s="319">
        <v>383.03</v>
      </c>
      <c r="Q22" s="320">
        <f>(P22-K22)*I22</f>
        <v>-682.96000000000163</v>
      </c>
      <c r="R22" s="324">
        <f>Q22/L22</f>
        <v>-2.8859789830955464E-2</v>
      </c>
    </row>
    <row r="23" spans="3:18" x14ac:dyDescent="0.25">
      <c r="C23" s="213">
        <v>20</v>
      </c>
      <c r="D23" s="303"/>
      <c r="E23" s="78" t="e" vm="79">
        <v>#VALUE!</v>
      </c>
      <c r="F23" s="118" t="s">
        <v>13</v>
      </c>
      <c r="G23" s="118" t="s">
        <v>38</v>
      </c>
      <c r="H23" s="81">
        <v>390.9</v>
      </c>
      <c r="I23" s="81">
        <v>60</v>
      </c>
      <c r="J23" s="81">
        <f t="shared" si="2"/>
        <v>18.760000000000002</v>
      </c>
      <c r="K23" s="81">
        <f t="shared" si="0"/>
        <v>391.21266666666662</v>
      </c>
      <c r="L23" s="81">
        <f t="shared" si="1"/>
        <v>23472.76</v>
      </c>
      <c r="M23" s="66"/>
      <c r="N23" s="317"/>
      <c r="O23" s="318"/>
      <c r="P23" s="319">
        <v>383.03</v>
      </c>
      <c r="Q23" s="320">
        <f>(P23-K23)*I23</f>
        <v>-490.9599999999989</v>
      </c>
      <c r="R23" s="324">
        <f>Q23/L23</f>
        <v>-2.0916159838042007E-2</v>
      </c>
    </row>
    <row r="24" spans="3:18" x14ac:dyDescent="0.25">
      <c r="C24" s="213">
        <v>21</v>
      </c>
      <c r="D24" s="303"/>
      <c r="E24" s="78" t="e" vm="79">
        <v>#VALUE!</v>
      </c>
      <c r="F24" s="118" t="s">
        <v>13</v>
      </c>
      <c r="G24" s="118" t="s">
        <v>38</v>
      </c>
      <c r="H24" s="81">
        <v>385.55</v>
      </c>
      <c r="I24" s="81">
        <v>70</v>
      </c>
      <c r="J24" s="81">
        <f t="shared" si="2"/>
        <v>18.760000000000002</v>
      </c>
      <c r="K24" s="81">
        <f t="shared" si="0"/>
        <v>385.81799999999998</v>
      </c>
      <c r="L24" s="81">
        <f t="shared" si="1"/>
        <v>27007.26</v>
      </c>
      <c r="M24" s="66">
        <v>386</v>
      </c>
      <c r="N24" s="317">
        <f>(M24-K24)*I24</f>
        <v>12.740000000001146</v>
      </c>
      <c r="O24" s="318">
        <f>N24/L24</f>
        <v>4.717250102380303E-4</v>
      </c>
      <c r="P24" s="319"/>
      <c r="Q24" s="320"/>
      <c r="R24" s="324"/>
    </row>
    <row r="25" spans="3:18" x14ac:dyDescent="0.25">
      <c r="C25" s="213">
        <v>22</v>
      </c>
      <c r="D25" s="302" t="s">
        <v>118</v>
      </c>
      <c r="E25" s="78" t="e" vm="1">
        <v>#VALUE!</v>
      </c>
      <c r="F25" s="118" t="s">
        <v>12</v>
      </c>
      <c r="G25" s="118" t="s">
        <v>37</v>
      </c>
      <c r="H25" s="81">
        <v>241.8</v>
      </c>
      <c r="I25" s="81">
        <v>800</v>
      </c>
      <c r="J25" s="81">
        <f>(H25*I25+P25*I25)*0.12%+(H25*I25+P25*I25)*(0.1%+0.002%+0.0027%+0.005%)</f>
        <v>889.39839999999992</v>
      </c>
      <c r="K25" s="81">
        <f t="shared" si="0"/>
        <v>242.91174800000002</v>
      </c>
      <c r="L25" s="81">
        <f t="shared" si="1"/>
        <v>194329.39840000001</v>
      </c>
      <c r="M25" s="321"/>
      <c r="N25" s="317"/>
      <c r="O25" s="318"/>
      <c r="P25" s="322">
        <v>242.2</v>
      </c>
      <c r="Q25" s="320">
        <f>(P25-K25)*I25/7.8</f>
        <v>-72.999794871797789</v>
      </c>
      <c r="R25" s="324">
        <f>Q25/L25</f>
        <v>-3.7564977544744864E-4</v>
      </c>
    </row>
    <row r="26" spans="3:18" x14ac:dyDescent="0.25">
      <c r="C26" s="213">
        <v>23</v>
      </c>
      <c r="D26" s="303"/>
      <c r="E26" s="78" t="e" vm="1">
        <v>#VALUE!</v>
      </c>
      <c r="F26" s="118" t="s">
        <v>12</v>
      </c>
      <c r="G26" s="118" t="s">
        <v>37</v>
      </c>
      <c r="H26" s="81">
        <v>240.4</v>
      </c>
      <c r="I26" s="81">
        <v>900</v>
      </c>
      <c r="J26" s="81">
        <f>(H26*I26+M26*I26)*0.12%+(H26*I26+M26*I26)*(0.1%+0.002%+0.0027%+0.005%)</f>
        <v>997.67897999999991</v>
      </c>
      <c r="K26" s="81">
        <f t="shared" si="0"/>
        <v>241.50853219999999</v>
      </c>
      <c r="L26" s="81">
        <f t="shared" si="1"/>
        <v>217357.67898</v>
      </c>
      <c r="M26" s="321">
        <v>242.2</v>
      </c>
      <c r="N26" s="317">
        <f>(M26-K26)*I26/7.8</f>
        <v>79.78474615384593</v>
      </c>
      <c r="O26" s="318">
        <f>N26/L26</f>
        <v>3.6706660895650836E-4</v>
      </c>
      <c r="P26" s="322"/>
      <c r="Q26" s="320"/>
      <c r="R26" s="324"/>
    </row>
    <row r="27" spans="3:18" x14ac:dyDescent="0.25">
      <c r="C27" s="213">
        <v>24</v>
      </c>
      <c r="D27" s="302" t="s">
        <v>120</v>
      </c>
      <c r="E27" s="78" t="e" vm="1">
        <v>#VALUE!</v>
      </c>
      <c r="F27" s="118" t="s">
        <v>12</v>
      </c>
      <c r="G27" s="118" t="s">
        <v>37</v>
      </c>
      <c r="H27" s="81">
        <v>243.4</v>
      </c>
      <c r="I27" s="81">
        <v>800</v>
      </c>
      <c r="J27" s="81">
        <f>(H27*I27+P27*I27)*0.12%+(H27*I27+P27*I27)*(0.1%+0.002%+0.0027%+0.005%)</f>
        <v>896.01375999999982</v>
      </c>
      <c r="K27" s="81">
        <f t="shared" si="0"/>
        <v>244.52001720000001</v>
      </c>
      <c r="L27" s="81">
        <f t="shared" si="1"/>
        <v>195616.01376</v>
      </c>
      <c r="M27" s="321"/>
      <c r="N27" s="317"/>
      <c r="O27" s="318"/>
      <c r="P27" s="322">
        <v>244.2</v>
      </c>
      <c r="Q27" s="320">
        <f>(P27-K27)*I27/7.8</f>
        <v>-32.82227692307935</v>
      </c>
      <c r="R27" s="324">
        <f>Q27/L27</f>
        <v>-1.6778931485307122E-4</v>
      </c>
    </row>
    <row r="28" spans="3:18" x14ac:dyDescent="0.25">
      <c r="C28" s="213">
        <v>25</v>
      </c>
      <c r="D28" s="303"/>
      <c r="E28" s="78" t="e" vm="29">
        <v>#VALUE!</v>
      </c>
      <c r="F28" s="118" t="s">
        <v>13</v>
      </c>
      <c r="G28" s="118" t="s">
        <v>39</v>
      </c>
      <c r="H28" s="81">
        <v>57</v>
      </c>
      <c r="I28" s="81">
        <v>100</v>
      </c>
      <c r="J28" s="81">
        <f t="shared" ref="J28:J35" si="3">8.88*2+1</f>
        <v>18.760000000000002</v>
      </c>
      <c r="K28" s="81">
        <f t="shared" si="0"/>
        <v>57.187600000000003</v>
      </c>
      <c r="L28" s="81">
        <f t="shared" si="1"/>
        <v>5718.76</v>
      </c>
      <c r="M28" s="66">
        <v>58.2</v>
      </c>
      <c r="N28" s="317">
        <f>(M28-K28)*I28</f>
        <v>101.23999999999995</v>
      </c>
      <c r="O28" s="318">
        <f>N28/L28</f>
        <v>1.7703138442599436E-2</v>
      </c>
      <c r="P28" s="319"/>
      <c r="Q28" s="320"/>
      <c r="R28" s="324"/>
    </row>
    <row r="29" spans="3:18" x14ac:dyDescent="0.25">
      <c r="C29" s="213">
        <v>26</v>
      </c>
      <c r="D29" s="302" t="s">
        <v>149</v>
      </c>
      <c r="E29" s="78" t="e" vm="7">
        <v>#VALUE!</v>
      </c>
      <c r="F29" s="118" t="s">
        <v>13</v>
      </c>
      <c r="G29" s="118" t="s">
        <v>37</v>
      </c>
      <c r="H29" s="81">
        <v>265</v>
      </c>
      <c r="I29" s="81">
        <v>100</v>
      </c>
      <c r="J29" s="81">
        <f t="shared" si="3"/>
        <v>18.760000000000002</v>
      </c>
      <c r="K29" s="81">
        <f t="shared" si="0"/>
        <v>265.18759999999997</v>
      </c>
      <c r="L29" s="81">
        <f t="shared" si="1"/>
        <v>26518.76</v>
      </c>
      <c r="M29" s="66">
        <v>266.2</v>
      </c>
      <c r="N29" s="317">
        <f>(M29-K29)*I29</f>
        <v>101.24000000000137</v>
      </c>
      <c r="O29" s="318">
        <f>N29/L29</f>
        <v>3.8176747329061156E-3</v>
      </c>
      <c r="P29" s="319"/>
      <c r="Q29" s="320"/>
      <c r="R29" s="324"/>
    </row>
    <row r="30" spans="3:18" x14ac:dyDescent="0.25">
      <c r="C30" s="213">
        <v>27</v>
      </c>
      <c r="D30" s="303"/>
      <c r="E30" s="78" t="e" vm="29">
        <v>#VALUE!</v>
      </c>
      <c r="F30" s="118" t="s">
        <v>13</v>
      </c>
      <c r="G30" s="118" t="s">
        <v>39</v>
      </c>
      <c r="H30" s="81">
        <v>58</v>
      </c>
      <c r="I30" s="81">
        <v>100</v>
      </c>
      <c r="J30" s="81">
        <f t="shared" si="3"/>
        <v>18.760000000000002</v>
      </c>
      <c r="K30" s="81">
        <f t="shared" si="0"/>
        <v>58.187600000000003</v>
      </c>
      <c r="L30" s="81">
        <f t="shared" si="1"/>
        <v>5818.76</v>
      </c>
      <c r="M30" s="66"/>
      <c r="N30" s="317"/>
      <c r="O30" s="318"/>
      <c r="P30" s="319">
        <v>58</v>
      </c>
      <c r="Q30" s="320">
        <f>(P30-K30)*I30</f>
        <v>-18.760000000000332</v>
      </c>
      <c r="R30" s="324">
        <f>Q30/L30</f>
        <v>-3.2240546095732305E-3</v>
      </c>
    </row>
    <row r="31" spans="3:18" x14ac:dyDescent="0.25">
      <c r="C31" s="213">
        <v>28</v>
      </c>
      <c r="D31" s="303"/>
      <c r="E31" s="78" t="e" vm="7">
        <v>#VALUE!</v>
      </c>
      <c r="F31" s="118" t="s">
        <v>13</v>
      </c>
      <c r="G31" s="118" t="s">
        <v>37</v>
      </c>
      <c r="H31" s="81">
        <v>267.5</v>
      </c>
      <c r="I31" s="81">
        <v>80</v>
      </c>
      <c r="J31" s="81">
        <f t="shared" si="3"/>
        <v>18.760000000000002</v>
      </c>
      <c r="K31" s="81">
        <f t="shared" si="0"/>
        <v>267.73449999999997</v>
      </c>
      <c r="L31" s="81">
        <f t="shared" si="1"/>
        <v>21418.76</v>
      </c>
      <c r="M31" s="66">
        <v>268</v>
      </c>
      <c r="N31" s="317">
        <f t="shared" ref="N31:N37" si="4">(M31-K31)*I31</f>
        <v>21.24000000000251</v>
      </c>
      <c r="O31" s="318">
        <f t="shared" ref="O31:O37" si="5">N31/L31</f>
        <v>9.9165404533234011E-4</v>
      </c>
      <c r="P31" s="319"/>
      <c r="Q31" s="320"/>
      <c r="R31" s="324"/>
    </row>
    <row r="32" spans="3:18" x14ac:dyDescent="0.25">
      <c r="C32" s="213">
        <v>29</v>
      </c>
      <c r="D32" s="303"/>
      <c r="E32" s="78" t="e" vm="14">
        <v>#VALUE!</v>
      </c>
      <c r="F32" s="118" t="s">
        <v>13</v>
      </c>
      <c r="G32" s="118" t="s">
        <v>37</v>
      </c>
      <c r="H32" s="81">
        <v>267</v>
      </c>
      <c r="I32" s="81">
        <v>100</v>
      </c>
      <c r="J32" s="81">
        <f t="shared" si="3"/>
        <v>18.760000000000002</v>
      </c>
      <c r="K32" s="81">
        <f t="shared" si="0"/>
        <v>267.18759999999997</v>
      </c>
      <c r="L32" s="81">
        <f t="shared" si="1"/>
        <v>26718.76</v>
      </c>
      <c r="M32" s="66">
        <v>268</v>
      </c>
      <c r="N32" s="317">
        <f t="shared" si="4"/>
        <v>81.24000000000251</v>
      </c>
      <c r="O32" s="318">
        <f t="shared" si="5"/>
        <v>3.0405602655213981E-3</v>
      </c>
      <c r="P32" s="319"/>
      <c r="Q32" s="320"/>
      <c r="R32" s="324"/>
    </row>
    <row r="33" spans="3:20" x14ac:dyDescent="0.25">
      <c r="C33" s="213">
        <v>30</v>
      </c>
      <c r="D33" s="302" t="s">
        <v>161</v>
      </c>
      <c r="E33" s="78" t="e" vm="7">
        <v>#VALUE!</v>
      </c>
      <c r="F33" s="118" t="s">
        <v>13</v>
      </c>
      <c r="G33" s="118" t="s">
        <v>37</v>
      </c>
      <c r="H33" s="81">
        <v>271.5</v>
      </c>
      <c r="I33" s="81">
        <v>100</v>
      </c>
      <c r="J33" s="81">
        <f t="shared" si="3"/>
        <v>18.760000000000002</v>
      </c>
      <c r="K33" s="81">
        <f t="shared" si="0"/>
        <v>271.68759999999997</v>
      </c>
      <c r="L33" s="81">
        <f t="shared" si="1"/>
        <v>27168.76</v>
      </c>
      <c r="M33" s="66">
        <v>273</v>
      </c>
      <c r="N33" s="317">
        <f t="shared" si="4"/>
        <v>131.24000000000251</v>
      </c>
      <c r="O33" s="318">
        <f t="shared" si="5"/>
        <v>4.8305480264834505E-3</v>
      </c>
      <c r="P33" s="319"/>
      <c r="Q33" s="320"/>
      <c r="R33" s="324"/>
    </row>
    <row r="34" spans="3:20" x14ac:dyDescent="0.25">
      <c r="C34" s="213">
        <v>31</v>
      </c>
      <c r="D34" s="303"/>
      <c r="E34" s="78" t="e" vm="14">
        <v>#VALUE!</v>
      </c>
      <c r="F34" s="118" t="s">
        <v>13</v>
      </c>
      <c r="G34" s="118" t="s">
        <v>37</v>
      </c>
      <c r="H34" s="81">
        <v>259.5</v>
      </c>
      <c r="I34" s="81">
        <v>100</v>
      </c>
      <c r="J34" s="81">
        <f t="shared" si="3"/>
        <v>18.760000000000002</v>
      </c>
      <c r="K34" s="81">
        <f t="shared" si="0"/>
        <v>259.68759999999997</v>
      </c>
      <c r="L34" s="81">
        <f t="shared" si="1"/>
        <v>25968.76</v>
      </c>
      <c r="M34" s="66">
        <v>260</v>
      </c>
      <c r="N34" s="317">
        <f t="shared" si="4"/>
        <v>31.24000000000251</v>
      </c>
      <c r="O34" s="318">
        <f t="shared" si="5"/>
        <v>1.2029838929545544E-3</v>
      </c>
      <c r="P34" s="319"/>
      <c r="Q34" s="320"/>
      <c r="R34" s="324"/>
    </row>
    <row r="35" spans="3:20" x14ac:dyDescent="0.25">
      <c r="C35" s="213">
        <v>32</v>
      </c>
      <c r="D35" s="302" t="s">
        <v>162</v>
      </c>
      <c r="E35" s="78" t="e" vm="29">
        <v>#VALUE!</v>
      </c>
      <c r="F35" s="118" t="s">
        <v>13</v>
      </c>
      <c r="G35" s="118" t="s">
        <v>39</v>
      </c>
      <c r="H35" s="81">
        <v>59.19</v>
      </c>
      <c r="I35" s="81">
        <v>50</v>
      </c>
      <c r="J35" s="81">
        <f t="shared" si="3"/>
        <v>18.760000000000002</v>
      </c>
      <c r="K35" s="81">
        <f t="shared" si="0"/>
        <v>59.565200000000004</v>
      </c>
      <c r="L35" s="81">
        <f t="shared" si="1"/>
        <v>2978.26</v>
      </c>
      <c r="M35" s="66">
        <v>61</v>
      </c>
      <c r="N35" s="317">
        <f t="shared" si="4"/>
        <v>71.739999999999782</v>
      </c>
      <c r="O35" s="318">
        <f t="shared" si="5"/>
        <v>2.4087890244639414E-2</v>
      </c>
      <c r="P35" s="319"/>
      <c r="Q35" s="320"/>
      <c r="R35" s="324"/>
    </row>
    <row r="36" spans="3:20" x14ac:dyDescent="0.25">
      <c r="C36" s="213">
        <v>33</v>
      </c>
      <c r="D36" s="303"/>
      <c r="E36" s="78" t="e" vm="29">
        <v>#VALUE!</v>
      </c>
      <c r="F36" s="118" t="s">
        <v>13</v>
      </c>
      <c r="G36" s="118" t="s">
        <v>39</v>
      </c>
      <c r="H36" s="81">
        <v>59.19</v>
      </c>
      <c r="I36" s="81">
        <v>50</v>
      </c>
      <c r="J36" s="81">
        <f>8.88+1</f>
        <v>9.8800000000000008</v>
      </c>
      <c r="K36" s="81">
        <f t="shared" ref="K36:K67" si="6">((H36*I36)+J36)/I36</f>
        <v>59.387599999999999</v>
      </c>
      <c r="L36" s="81">
        <f t="shared" ref="L36:L67" si="7">K36*I36</f>
        <v>2969.38</v>
      </c>
      <c r="M36" s="66">
        <v>61.25</v>
      </c>
      <c r="N36" s="317">
        <f t="shared" si="4"/>
        <v>93.120000000000047</v>
      </c>
      <c r="O36" s="318">
        <f t="shared" si="5"/>
        <v>3.1360081902619415E-2</v>
      </c>
      <c r="P36" s="319"/>
      <c r="Q36" s="320"/>
      <c r="R36" s="324"/>
    </row>
    <row r="37" spans="3:20" x14ac:dyDescent="0.25">
      <c r="C37" s="213">
        <v>34</v>
      </c>
      <c r="D37" s="303"/>
      <c r="E37" s="78" t="e" vm="7">
        <v>#VALUE!</v>
      </c>
      <c r="F37" s="118" t="s">
        <v>13</v>
      </c>
      <c r="G37" s="118" t="s">
        <v>37</v>
      </c>
      <c r="H37" s="81">
        <v>276</v>
      </c>
      <c r="I37" s="81">
        <v>100</v>
      </c>
      <c r="J37" s="81">
        <f>8.88*2+1</f>
        <v>18.760000000000002</v>
      </c>
      <c r="K37" s="81">
        <f t="shared" si="6"/>
        <v>276.18759999999997</v>
      </c>
      <c r="L37" s="81">
        <f t="shared" si="7"/>
        <v>27618.76</v>
      </c>
      <c r="M37" s="66">
        <v>277</v>
      </c>
      <c r="N37" s="317">
        <f t="shared" si="4"/>
        <v>81.24000000000251</v>
      </c>
      <c r="O37" s="318">
        <f t="shared" si="5"/>
        <v>2.9414789078149243E-3</v>
      </c>
      <c r="P37" s="319"/>
      <c r="Q37" s="320"/>
      <c r="R37" s="324"/>
    </row>
    <row r="38" spans="3:20" x14ac:dyDescent="0.25">
      <c r="C38" s="213">
        <v>35</v>
      </c>
      <c r="D38" s="303"/>
      <c r="E38" s="78" t="e" vm="29">
        <v>#VALUE!</v>
      </c>
      <c r="F38" s="118" t="s">
        <v>13</v>
      </c>
      <c r="G38" s="118" t="s">
        <v>39</v>
      </c>
      <c r="H38" s="81">
        <v>61.5</v>
      </c>
      <c r="I38" s="81">
        <v>100</v>
      </c>
      <c r="J38" s="81">
        <f>8.88*2+1</f>
        <v>18.760000000000002</v>
      </c>
      <c r="K38" s="81">
        <f t="shared" si="6"/>
        <v>61.687600000000003</v>
      </c>
      <c r="L38" s="81">
        <f t="shared" si="7"/>
        <v>6168.76</v>
      </c>
      <c r="M38" s="66"/>
      <c r="N38" s="317"/>
      <c r="O38" s="318"/>
      <c r="P38" s="319">
        <v>61</v>
      </c>
      <c r="Q38" s="320">
        <f>(P38-K38)*I38</f>
        <v>-68.760000000000332</v>
      </c>
      <c r="R38" s="324">
        <f>Q38/L38</f>
        <v>-1.1146486489991558E-2</v>
      </c>
    </row>
    <row r="39" spans="3:20" x14ac:dyDescent="0.25">
      <c r="C39" s="213">
        <v>36</v>
      </c>
      <c r="D39" s="302" t="s">
        <v>164</v>
      </c>
      <c r="E39" s="78" t="e" vm="7">
        <v>#VALUE!</v>
      </c>
      <c r="F39" s="118" t="s">
        <v>13</v>
      </c>
      <c r="G39" s="118" t="s">
        <v>37</v>
      </c>
      <c r="H39" s="81">
        <f>(276.5+274.8)/2</f>
        <v>275.64999999999998</v>
      </c>
      <c r="I39" s="81">
        <v>200</v>
      </c>
      <c r="J39" s="81">
        <f>8.88*3+1</f>
        <v>27.64</v>
      </c>
      <c r="K39" s="81">
        <f t="shared" si="6"/>
        <v>275.78819999999996</v>
      </c>
      <c r="L39" s="81">
        <f t="shared" si="7"/>
        <v>55157.639999999992</v>
      </c>
      <c r="M39" s="66"/>
      <c r="N39" s="317"/>
      <c r="O39" s="318"/>
      <c r="P39" s="319">
        <v>273</v>
      </c>
      <c r="Q39" s="320">
        <f>(P39-K39)*I39</f>
        <v>-557.63999999999214</v>
      </c>
      <c r="R39" s="324">
        <f>Q39/L39</f>
        <v>-1.0109932187091258E-2</v>
      </c>
    </row>
    <row r="40" spans="3:20" x14ac:dyDescent="0.25">
      <c r="C40" s="213">
        <v>37</v>
      </c>
      <c r="D40" s="303"/>
      <c r="E40" s="78" t="e" vm="7">
        <v>#VALUE!</v>
      </c>
      <c r="F40" s="118" t="s">
        <v>13</v>
      </c>
      <c r="G40" s="118" t="s">
        <v>37</v>
      </c>
      <c r="H40" s="81">
        <f>(274.5+274)/2</f>
        <v>274.25</v>
      </c>
      <c r="I40" s="81">
        <v>200</v>
      </c>
      <c r="J40" s="81">
        <f>8.88*3+1</f>
        <v>27.64</v>
      </c>
      <c r="K40" s="81">
        <f t="shared" si="6"/>
        <v>274.38819999999998</v>
      </c>
      <c r="L40" s="81">
        <f t="shared" si="7"/>
        <v>54877.64</v>
      </c>
      <c r="M40" s="66">
        <v>274.52999999999997</v>
      </c>
      <c r="N40" s="317">
        <f>(M40-K40)*I40</f>
        <v>28.359999999997854</v>
      </c>
      <c r="O40" s="318">
        <f>N40/L40</f>
        <v>5.1678607170421058E-4</v>
      </c>
      <c r="P40" s="319"/>
      <c r="Q40" s="320"/>
      <c r="R40" s="324"/>
    </row>
    <row r="41" spans="3:20" x14ac:dyDescent="0.25">
      <c r="C41" s="213">
        <v>38</v>
      </c>
      <c r="D41" s="303"/>
      <c r="E41" s="78" t="e" vm="29">
        <v>#VALUE!</v>
      </c>
      <c r="F41" s="118" t="s">
        <v>13</v>
      </c>
      <c r="G41" s="118" t="s">
        <v>39</v>
      </c>
      <c r="H41" s="81">
        <v>59.9</v>
      </c>
      <c r="I41" s="81">
        <v>300</v>
      </c>
      <c r="J41" s="81">
        <f>8.88*3+1</f>
        <v>27.64</v>
      </c>
      <c r="K41" s="81">
        <f t="shared" si="6"/>
        <v>59.992133333333328</v>
      </c>
      <c r="L41" s="81">
        <f t="shared" si="7"/>
        <v>17997.64</v>
      </c>
      <c r="M41" s="66"/>
      <c r="N41" s="317"/>
      <c r="O41" s="318"/>
      <c r="P41" s="319">
        <f>(59.6+60)/2</f>
        <v>59.8</v>
      </c>
      <c r="Q41" s="320">
        <f>(P41-K41)*I41</f>
        <v>-57.639999999999247</v>
      </c>
      <c r="R41" s="324">
        <f>Q41/L41</f>
        <v>-3.2026421241895743E-3</v>
      </c>
    </row>
    <row r="42" spans="3:20" x14ac:dyDescent="0.25">
      <c r="C42" s="213">
        <v>39</v>
      </c>
      <c r="D42" s="303"/>
      <c r="E42" s="78" t="e" vm="14">
        <v>#VALUE!</v>
      </c>
      <c r="F42" s="118" t="s">
        <v>13</v>
      </c>
      <c r="G42" s="118" t="s">
        <v>37</v>
      </c>
      <c r="H42" s="81">
        <v>260</v>
      </c>
      <c r="I42" s="81">
        <v>100</v>
      </c>
      <c r="J42" s="81">
        <f>8.88*2+1</f>
        <v>18.760000000000002</v>
      </c>
      <c r="K42" s="81">
        <f t="shared" si="6"/>
        <v>260.18759999999997</v>
      </c>
      <c r="L42" s="81">
        <f t="shared" si="7"/>
        <v>26018.76</v>
      </c>
      <c r="M42" s="66">
        <v>260.5</v>
      </c>
      <c r="N42" s="317">
        <f t="shared" ref="N42:N62" si="8">(M42-K42)*I42</f>
        <v>31.24000000000251</v>
      </c>
      <c r="O42" s="318">
        <f t="shared" ref="O42:O62" si="9">N42/L42</f>
        <v>1.2006721304167651E-3</v>
      </c>
      <c r="P42" s="319"/>
      <c r="Q42" s="320"/>
      <c r="R42" s="324"/>
    </row>
    <row r="43" spans="3:20" x14ac:dyDescent="0.25">
      <c r="C43" s="213">
        <v>40</v>
      </c>
      <c r="D43" s="303"/>
      <c r="E43" s="78" t="e" vm="2">
        <v>#VALUE!</v>
      </c>
      <c r="F43" s="118" t="s">
        <v>13</v>
      </c>
      <c r="G43" s="118" t="s">
        <v>38</v>
      </c>
      <c r="H43" s="81">
        <v>93.8</v>
      </c>
      <c r="I43" s="81">
        <v>200</v>
      </c>
      <c r="J43" s="81">
        <f>8.88*2+1</f>
        <v>18.760000000000002</v>
      </c>
      <c r="K43" s="81">
        <f t="shared" si="6"/>
        <v>93.893799999999999</v>
      </c>
      <c r="L43" s="81">
        <f t="shared" si="7"/>
        <v>18778.759999999998</v>
      </c>
      <c r="M43" s="66">
        <v>94</v>
      </c>
      <c r="N43" s="317">
        <f t="shared" si="8"/>
        <v>21.240000000000236</v>
      </c>
      <c r="O43" s="318">
        <f t="shared" si="9"/>
        <v>1.1310650969499709E-3</v>
      </c>
      <c r="P43" s="319"/>
      <c r="Q43" s="320"/>
      <c r="R43" s="324"/>
    </row>
    <row r="44" spans="3:20" x14ac:dyDescent="0.25">
      <c r="C44" s="213">
        <v>41</v>
      </c>
      <c r="D44" s="302" t="s">
        <v>179</v>
      </c>
      <c r="E44" s="78" t="e" vm="29">
        <v>#VALUE!</v>
      </c>
      <c r="F44" s="118" t="s">
        <v>13</v>
      </c>
      <c r="G44" s="118" t="s">
        <v>39</v>
      </c>
      <c r="H44" s="81">
        <v>59</v>
      </c>
      <c r="I44" s="81">
        <v>150</v>
      </c>
      <c r="J44" s="81">
        <f>8.88*2+1</f>
        <v>18.760000000000002</v>
      </c>
      <c r="K44" s="81">
        <f t="shared" si="6"/>
        <v>59.125066666666669</v>
      </c>
      <c r="L44" s="81">
        <f t="shared" si="7"/>
        <v>8868.76</v>
      </c>
      <c r="M44" s="66">
        <v>60.2</v>
      </c>
      <c r="N44" s="317">
        <f t="shared" si="8"/>
        <v>161.24000000000009</v>
      </c>
      <c r="O44" s="318">
        <f t="shared" si="9"/>
        <v>1.8180670127503743E-2</v>
      </c>
      <c r="P44" s="319"/>
      <c r="Q44" s="320"/>
      <c r="R44" s="324"/>
      <c r="S44" s="323"/>
      <c r="T44" s="73"/>
    </row>
    <row r="45" spans="3:20" x14ac:dyDescent="0.25">
      <c r="C45" s="213">
        <v>42</v>
      </c>
      <c r="D45" s="302" t="s">
        <v>219</v>
      </c>
      <c r="E45" s="78" t="e" vm="2">
        <v>#VALUE!</v>
      </c>
      <c r="F45" s="118" t="s">
        <v>13</v>
      </c>
      <c r="G45" s="118" t="s">
        <v>38</v>
      </c>
      <c r="H45" s="81">
        <v>86.8</v>
      </c>
      <c r="I45" s="81">
        <v>150</v>
      </c>
      <c r="J45" s="81">
        <f>8.88*2+1</f>
        <v>18.760000000000002</v>
      </c>
      <c r="K45" s="81">
        <f t="shared" si="6"/>
        <v>86.925066666666666</v>
      </c>
      <c r="L45" s="81">
        <f t="shared" si="7"/>
        <v>13038.76</v>
      </c>
      <c r="M45" s="66">
        <v>90.5</v>
      </c>
      <c r="N45" s="317">
        <f t="shared" si="8"/>
        <v>536.24000000000012</v>
      </c>
      <c r="O45" s="318">
        <f t="shared" si="9"/>
        <v>4.1126610199129374E-2</v>
      </c>
      <c r="P45" s="319"/>
      <c r="Q45" s="320"/>
      <c r="R45" s="324"/>
      <c r="S45" s="323"/>
      <c r="T45" s="73"/>
    </row>
    <row r="46" spans="3:20" x14ac:dyDescent="0.25">
      <c r="C46" s="213">
        <v>43</v>
      </c>
      <c r="D46" s="302"/>
      <c r="E46" s="78" t="e" vm="7">
        <v>#VALUE!</v>
      </c>
      <c r="F46" s="118" t="s">
        <v>13</v>
      </c>
      <c r="G46" s="118" t="s">
        <v>37</v>
      </c>
      <c r="H46" s="81">
        <f>(276.8+271+269.5)/3</f>
        <v>272.43333333333334</v>
      </c>
      <c r="I46" s="81">
        <v>300</v>
      </c>
      <c r="J46" s="81">
        <f>8.88*4+2</f>
        <v>37.520000000000003</v>
      </c>
      <c r="K46" s="81">
        <f t="shared" si="6"/>
        <v>272.55840000000001</v>
      </c>
      <c r="L46" s="81">
        <f t="shared" si="7"/>
        <v>81767.520000000004</v>
      </c>
      <c r="M46" s="66">
        <v>273</v>
      </c>
      <c r="N46" s="317">
        <f t="shared" si="8"/>
        <v>132.4799999999982</v>
      </c>
      <c r="O46" s="318">
        <f t="shared" si="9"/>
        <v>1.6202032298398947E-3</v>
      </c>
      <c r="P46" s="319"/>
      <c r="Q46" s="320"/>
      <c r="R46" s="324"/>
      <c r="S46" s="323"/>
      <c r="T46" s="73"/>
    </row>
    <row r="47" spans="3:20" x14ac:dyDescent="0.25">
      <c r="C47" s="213">
        <v>44</v>
      </c>
      <c r="D47" s="302" t="s">
        <v>295</v>
      </c>
      <c r="E47" s="78" t="e" vm="40">
        <v>#VALUE!</v>
      </c>
      <c r="F47" s="118" t="s">
        <v>13</v>
      </c>
      <c r="G47" s="118" t="s">
        <v>38</v>
      </c>
      <c r="H47" s="81">
        <v>83.8</v>
      </c>
      <c r="I47" s="81">
        <v>100</v>
      </c>
      <c r="J47" s="81">
        <f>8.88*2+1</f>
        <v>18.760000000000002</v>
      </c>
      <c r="K47" s="81">
        <f t="shared" si="6"/>
        <v>83.9876</v>
      </c>
      <c r="L47" s="81">
        <f t="shared" si="7"/>
        <v>8398.76</v>
      </c>
      <c r="M47" s="66">
        <v>85.1</v>
      </c>
      <c r="N47" s="317">
        <f t="shared" si="8"/>
        <v>111.23999999999938</v>
      </c>
      <c r="O47" s="318">
        <f t="shared" si="9"/>
        <v>1.3244812329439033E-2</v>
      </c>
      <c r="P47" s="319"/>
      <c r="Q47" s="320"/>
      <c r="R47" s="324"/>
      <c r="S47" s="323"/>
      <c r="T47" s="73"/>
    </row>
    <row r="48" spans="3:20" x14ac:dyDescent="0.25">
      <c r="C48" s="213">
        <v>45</v>
      </c>
      <c r="D48" s="302" t="s">
        <v>298</v>
      </c>
      <c r="E48" s="78" t="e" vm="38">
        <v>#VALUE!</v>
      </c>
      <c r="F48" s="118" t="s">
        <v>13</v>
      </c>
      <c r="G48" s="118" t="s">
        <v>37</v>
      </c>
      <c r="H48" s="81">
        <v>250.8</v>
      </c>
      <c r="I48" s="81">
        <v>50</v>
      </c>
      <c r="J48" s="81">
        <f>8.88*2+1</f>
        <v>18.760000000000002</v>
      </c>
      <c r="K48" s="81">
        <f t="shared" si="6"/>
        <v>251.17520000000002</v>
      </c>
      <c r="L48" s="81">
        <f t="shared" si="7"/>
        <v>12558.76</v>
      </c>
      <c r="M48" s="66">
        <v>252</v>
      </c>
      <c r="N48" s="317">
        <f t="shared" si="8"/>
        <v>41.2399999999991</v>
      </c>
      <c r="O48" s="318">
        <f t="shared" si="9"/>
        <v>3.2837636836757053E-3</v>
      </c>
      <c r="P48" s="319"/>
      <c r="Q48" s="320"/>
      <c r="R48" s="324"/>
    </row>
    <row r="49" spans="3:20" x14ac:dyDescent="0.25">
      <c r="C49" s="213">
        <v>46</v>
      </c>
      <c r="D49" s="302" t="s">
        <v>299</v>
      </c>
      <c r="E49" s="78" t="e" vm="42">
        <v>#VALUE!</v>
      </c>
      <c r="F49" s="118" t="s">
        <v>13</v>
      </c>
      <c r="G49" s="118" t="s">
        <v>37</v>
      </c>
      <c r="H49" s="81">
        <v>110.8</v>
      </c>
      <c r="I49" s="81">
        <v>100</v>
      </c>
      <c r="J49" s="81">
        <f>8.88*2+1</f>
        <v>18.760000000000002</v>
      </c>
      <c r="K49" s="81">
        <f t="shared" si="6"/>
        <v>110.9876</v>
      </c>
      <c r="L49" s="81">
        <f t="shared" si="7"/>
        <v>11098.76</v>
      </c>
      <c r="M49" s="66">
        <v>112</v>
      </c>
      <c r="N49" s="317">
        <f t="shared" si="8"/>
        <v>101.23999999999995</v>
      </c>
      <c r="O49" s="318">
        <f t="shared" si="9"/>
        <v>9.1217397258792823E-3</v>
      </c>
      <c r="P49" s="319"/>
      <c r="Q49" s="320"/>
      <c r="R49" s="324"/>
    </row>
    <row r="50" spans="3:20" x14ac:dyDescent="0.25">
      <c r="C50" s="213">
        <v>47</v>
      </c>
      <c r="D50" s="302" t="s">
        <v>301</v>
      </c>
      <c r="E50" s="78" t="e" vm="40">
        <v>#VALUE!</v>
      </c>
      <c r="F50" s="118" t="s">
        <v>13</v>
      </c>
      <c r="G50" s="118" t="s">
        <v>38</v>
      </c>
      <c r="H50" s="81">
        <v>79</v>
      </c>
      <c r="I50" s="81">
        <v>100</v>
      </c>
      <c r="J50" s="81">
        <f>6.88*2+1</f>
        <v>14.76</v>
      </c>
      <c r="K50" s="81">
        <f t="shared" si="6"/>
        <v>79.147599999999997</v>
      </c>
      <c r="L50" s="81">
        <f t="shared" si="7"/>
        <v>7914.7599999999993</v>
      </c>
      <c r="M50" s="66">
        <v>79.47</v>
      </c>
      <c r="N50" s="317">
        <f t="shared" si="8"/>
        <v>32.24000000000018</v>
      </c>
      <c r="O50" s="318">
        <f t="shared" si="9"/>
        <v>4.0734020993687973E-3</v>
      </c>
      <c r="P50" s="319"/>
      <c r="Q50" s="320"/>
      <c r="R50" s="324"/>
      <c r="S50" s="323"/>
      <c r="T50" s="73"/>
    </row>
    <row r="51" spans="3:20" x14ac:dyDescent="0.25">
      <c r="C51" s="213">
        <v>48</v>
      </c>
      <c r="D51" s="302"/>
      <c r="E51" s="78" t="e" vm="40">
        <v>#VALUE!</v>
      </c>
      <c r="F51" s="118" t="s">
        <v>13</v>
      </c>
      <c r="G51" s="118" t="s">
        <v>38</v>
      </c>
      <c r="H51" s="81">
        <v>78</v>
      </c>
      <c r="I51" s="81">
        <v>100</v>
      </c>
      <c r="J51" s="81">
        <f>6.88*2+1</f>
        <v>14.76</v>
      </c>
      <c r="K51" s="81">
        <f t="shared" si="6"/>
        <v>78.147599999999997</v>
      </c>
      <c r="L51" s="81">
        <f t="shared" si="7"/>
        <v>7814.7599999999993</v>
      </c>
      <c r="M51" s="66">
        <v>78.23</v>
      </c>
      <c r="N51" s="317">
        <f t="shared" si="8"/>
        <v>8.2400000000006912</v>
      </c>
      <c r="O51" s="318">
        <f t="shared" si="9"/>
        <v>1.0544149788350111E-3</v>
      </c>
      <c r="P51" s="319"/>
      <c r="Q51" s="320"/>
      <c r="R51" s="324"/>
    </row>
    <row r="52" spans="3:20" x14ac:dyDescent="0.25">
      <c r="C52" s="213">
        <v>49</v>
      </c>
      <c r="D52" s="302"/>
      <c r="E52" s="78" t="e" vm="40">
        <v>#VALUE!</v>
      </c>
      <c r="F52" s="118" t="s">
        <v>13</v>
      </c>
      <c r="G52" s="118" t="s">
        <v>38</v>
      </c>
      <c r="H52" s="81">
        <v>78.5</v>
      </c>
      <c r="I52" s="81">
        <v>100</v>
      </c>
      <c r="J52" s="81">
        <f>6.88*2+1</f>
        <v>14.76</v>
      </c>
      <c r="K52" s="81">
        <f t="shared" si="6"/>
        <v>78.647599999999997</v>
      </c>
      <c r="L52" s="81">
        <f t="shared" si="7"/>
        <v>7864.7599999999993</v>
      </c>
      <c r="M52" s="66">
        <v>78.81</v>
      </c>
      <c r="N52" s="317">
        <f t="shared" si="8"/>
        <v>16.240000000000521</v>
      </c>
      <c r="O52" s="318">
        <f t="shared" si="9"/>
        <v>2.0649072571827395E-3</v>
      </c>
      <c r="P52" s="319"/>
      <c r="Q52" s="320"/>
      <c r="R52" s="324"/>
    </row>
    <row r="53" spans="3:20" x14ac:dyDescent="0.25">
      <c r="C53" s="213">
        <v>50</v>
      </c>
      <c r="D53" s="461"/>
      <c r="E53" s="78" t="e" vm="41">
        <v>#VALUE!</v>
      </c>
      <c r="F53" s="118" t="s">
        <v>13</v>
      </c>
      <c r="G53" s="118" t="s">
        <v>38</v>
      </c>
      <c r="H53" s="81">
        <v>95</v>
      </c>
      <c r="I53" s="81">
        <v>100</v>
      </c>
      <c r="J53" s="81">
        <f>6.88*2+1</f>
        <v>14.76</v>
      </c>
      <c r="K53" s="81">
        <f t="shared" si="6"/>
        <v>95.147599999999997</v>
      </c>
      <c r="L53" s="81">
        <f t="shared" si="7"/>
        <v>9514.76</v>
      </c>
      <c r="M53" s="66">
        <v>95.5</v>
      </c>
      <c r="N53" s="317">
        <f t="shared" si="8"/>
        <v>35.240000000000293</v>
      </c>
      <c r="O53" s="318">
        <f t="shared" si="9"/>
        <v>3.7037192740542371E-3</v>
      </c>
      <c r="P53" s="319"/>
      <c r="Q53" s="320"/>
      <c r="R53" s="324"/>
    </row>
    <row r="54" spans="3:20" x14ac:dyDescent="0.25">
      <c r="C54" s="213">
        <v>51</v>
      </c>
      <c r="D54" s="302" t="s">
        <v>304</v>
      </c>
      <c r="E54" s="78" t="e" vm="38">
        <v>#VALUE!</v>
      </c>
      <c r="F54" s="118" t="s">
        <v>13</v>
      </c>
      <c r="G54" s="118" t="s">
        <v>37</v>
      </c>
      <c r="H54" s="81">
        <v>190</v>
      </c>
      <c r="I54" s="81">
        <v>50</v>
      </c>
      <c r="J54" s="81">
        <f>6.88*2+1</f>
        <v>14.76</v>
      </c>
      <c r="K54" s="81">
        <f t="shared" si="6"/>
        <v>190.29519999999999</v>
      </c>
      <c r="L54" s="81">
        <f t="shared" si="7"/>
        <v>9514.76</v>
      </c>
      <c r="M54" s="66">
        <v>195</v>
      </c>
      <c r="N54" s="317">
        <f t="shared" si="8"/>
        <v>235.24000000000029</v>
      </c>
      <c r="O54" s="318">
        <f t="shared" si="9"/>
        <v>2.472369245256846E-2</v>
      </c>
      <c r="P54" s="319"/>
      <c r="Q54" s="320"/>
      <c r="R54" s="324"/>
    </row>
    <row r="55" spans="3:20" x14ac:dyDescent="0.25">
      <c r="C55" s="213">
        <v>52</v>
      </c>
      <c r="D55" s="453"/>
      <c r="E55" s="78" t="e" vm="38">
        <v>#VALUE!</v>
      </c>
      <c r="F55" s="118" t="s">
        <v>13</v>
      </c>
      <c r="G55" s="118" t="s">
        <v>37</v>
      </c>
      <c r="H55" s="81">
        <f>(192*50+188*50+50+183*100+175*100)/Table6[[#This Row],[Quantity]]</f>
        <v>182.83333333333334</v>
      </c>
      <c r="I55" s="81">
        <f>50+50+100+100</f>
        <v>300</v>
      </c>
      <c r="J55" s="81">
        <f>6.88*5+1</f>
        <v>35.4</v>
      </c>
      <c r="K55" s="81">
        <f t="shared" si="6"/>
        <v>182.95133333333334</v>
      </c>
      <c r="L55" s="81">
        <f t="shared" si="7"/>
        <v>54885.4</v>
      </c>
      <c r="M55" s="66">
        <v>185</v>
      </c>
      <c r="N55" s="317">
        <f t="shared" si="8"/>
        <v>614.59999999999866</v>
      </c>
      <c r="O55" s="318">
        <f t="shared" si="9"/>
        <v>1.119787775984139E-2</v>
      </c>
      <c r="P55" s="319"/>
      <c r="Q55" s="320"/>
      <c r="R55" s="324"/>
    </row>
    <row r="56" spans="3:20" x14ac:dyDescent="0.25">
      <c r="C56" s="213">
        <v>53</v>
      </c>
      <c r="D56" s="453"/>
      <c r="E56" s="78" t="e" vm="38">
        <v>#VALUE!</v>
      </c>
      <c r="F56" s="118" t="s">
        <v>13</v>
      </c>
      <c r="G56" s="118" t="s">
        <v>37</v>
      </c>
      <c r="H56" s="81">
        <v>177.1</v>
      </c>
      <c r="I56" s="81">
        <v>50</v>
      </c>
      <c r="J56" s="81">
        <f>6.88*2+1</f>
        <v>14.76</v>
      </c>
      <c r="K56" s="81">
        <f t="shared" si="6"/>
        <v>177.39520000000002</v>
      </c>
      <c r="L56" s="81">
        <f t="shared" si="7"/>
        <v>8869.76</v>
      </c>
      <c r="M56" s="66">
        <v>182</v>
      </c>
      <c r="N56" s="317">
        <f t="shared" si="8"/>
        <v>230.23999999999916</v>
      </c>
      <c r="O56" s="318">
        <f t="shared" si="9"/>
        <v>2.5957861317555283E-2</v>
      </c>
      <c r="P56" s="319"/>
      <c r="Q56" s="320"/>
      <c r="R56" s="324"/>
    </row>
    <row r="57" spans="3:20" x14ac:dyDescent="0.25">
      <c r="C57" s="213">
        <v>54</v>
      </c>
      <c r="D57" s="302" t="s">
        <v>307</v>
      </c>
      <c r="E57" s="78" t="e" vm="40">
        <v>#VALUE!</v>
      </c>
      <c r="F57" s="118" t="s">
        <v>13</v>
      </c>
      <c r="G57" s="118" t="s">
        <v>38</v>
      </c>
      <c r="H57" s="81">
        <v>81</v>
      </c>
      <c r="I57" s="81">
        <v>100</v>
      </c>
      <c r="J57" s="81">
        <f>6.88*2+1</f>
        <v>14.76</v>
      </c>
      <c r="K57" s="81">
        <f t="shared" si="6"/>
        <v>81.147599999999997</v>
      </c>
      <c r="L57" s="81">
        <f t="shared" si="7"/>
        <v>8114.7599999999993</v>
      </c>
      <c r="M57" s="66">
        <v>81.209999999999994</v>
      </c>
      <c r="N57" s="317">
        <f t="shared" si="8"/>
        <v>6.239999999999668</v>
      </c>
      <c r="O57" s="318">
        <f t="shared" si="9"/>
        <v>7.689691377193742E-4</v>
      </c>
      <c r="P57" s="319"/>
      <c r="Q57" s="320"/>
      <c r="R57" s="324"/>
    </row>
    <row r="58" spans="3:20" x14ac:dyDescent="0.25">
      <c r="C58" s="213">
        <v>55</v>
      </c>
      <c r="D58" s="302" t="s">
        <v>311</v>
      </c>
      <c r="E58" s="78" t="e" vm="40">
        <v>#VALUE!</v>
      </c>
      <c r="F58" s="118" t="s">
        <v>13</v>
      </c>
      <c r="G58" s="118" t="s">
        <v>38</v>
      </c>
      <c r="H58" s="81">
        <v>83</v>
      </c>
      <c r="I58" s="81">
        <v>100</v>
      </c>
      <c r="J58" s="81">
        <f>6.88*2+1</f>
        <v>14.76</v>
      </c>
      <c r="K58" s="81">
        <f t="shared" si="6"/>
        <v>83.147599999999997</v>
      </c>
      <c r="L58" s="81">
        <f t="shared" si="7"/>
        <v>8314.76</v>
      </c>
      <c r="M58" s="66">
        <v>83.16</v>
      </c>
      <c r="N58" s="317">
        <f t="shared" si="8"/>
        <v>1.2399999999999523</v>
      </c>
      <c r="O58" s="318">
        <f t="shared" si="9"/>
        <v>1.4913238626249612E-4</v>
      </c>
      <c r="P58" s="319"/>
      <c r="Q58" s="320"/>
      <c r="R58" s="324"/>
      <c r="S58" s="323"/>
      <c r="T58" s="73"/>
    </row>
    <row r="59" spans="3:20" x14ac:dyDescent="0.25">
      <c r="C59" s="213">
        <v>56</v>
      </c>
      <c r="D59" s="453"/>
      <c r="E59" s="78" t="e" vm="6">
        <v>#VALUE!</v>
      </c>
      <c r="F59" s="118" t="s">
        <v>13</v>
      </c>
      <c r="G59" s="118" t="s">
        <v>37</v>
      </c>
      <c r="H59" s="81">
        <v>129.80000000000001</v>
      </c>
      <c r="I59" s="81">
        <v>100</v>
      </c>
      <c r="J59" s="81">
        <f>6.88*2+1</f>
        <v>14.76</v>
      </c>
      <c r="K59" s="81">
        <f t="shared" si="6"/>
        <v>129.94760000000002</v>
      </c>
      <c r="L59" s="81">
        <f t="shared" si="7"/>
        <v>12994.760000000002</v>
      </c>
      <c r="M59" s="66">
        <v>130.19999999999999</v>
      </c>
      <c r="N59" s="317">
        <f t="shared" si="8"/>
        <v>25.239999999996598</v>
      </c>
      <c r="O59" s="318">
        <f t="shared" si="9"/>
        <v>1.942321366458218E-3</v>
      </c>
      <c r="P59" s="319"/>
      <c r="Q59" s="320"/>
      <c r="R59" s="324"/>
    </row>
    <row r="60" spans="3:20" x14ac:dyDescent="0.25">
      <c r="C60" s="213">
        <v>57</v>
      </c>
      <c r="D60" s="302" t="s">
        <v>312</v>
      </c>
      <c r="E60" s="78" t="e" vm="29">
        <v>#VALUE!</v>
      </c>
      <c r="F60" s="118" t="s">
        <v>13</v>
      </c>
      <c r="G60" s="118" t="s">
        <v>39</v>
      </c>
      <c r="H60" s="81">
        <v>37.799999999999997</v>
      </c>
      <c r="I60" s="81">
        <v>50</v>
      </c>
      <c r="J60" s="81">
        <f>6.88*2+1</f>
        <v>14.76</v>
      </c>
      <c r="K60" s="81">
        <f t="shared" si="6"/>
        <v>38.095199999999998</v>
      </c>
      <c r="L60" s="81">
        <f t="shared" si="7"/>
        <v>1904.76</v>
      </c>
      <c r="M60" s="66">
        <v>39</v>
      </c>
      <c r="N60" s="317">
        <f t="shared" si="8"/>
        <v>45.24000000000008</v>
      </c>
      <c r="O60" s="318">
        <f t="shared" si="9"/>
        <v>2.3751023751023795E-2</v>
      </c>
      <c r="P60" s="319"/>
      <c r="Q60" s="320"/>
      <c r="R60" s="324"/>
      <c r="S60" s="323"/>
      <c r="T60" s="73"/>
    </row>
    <row r="61" spans="3:20" x14ac:dyDescent="0.25">
      <c r="C61" s="213">
        <v>58</v>
      </c>
      <c r="D61" s="302" t="s">
        <v>336</v>
      </c>
      <c r="E61" s="78" t="e" vm="29">
        <v>#VALUE!</v>
      </c>
      <c r="F61" s="118" t="s">
        <v>13</v>
      </c>
      <c r="G61" s="118" t="s">
        <v>38</v>
      </c>
      <c r="H61" s="81">
        <v>36.945</v>
      </c>
      <c r="I61" s="81">
        <v>100</v>
      </c>
      <c r="J61" s="81">
        <f t="shared" ref="J61:J86" si="10">2.88*2+1</f>
        <v>6.76</v>
      </c>
      <c r="K61" s="81">
        <f t="shared" si="6"/>
        <v>37.012599999999999</v>
      </c>
      <c r="L61" s="81">
        <f t="shared" si="7"/>
        <v>3701.2599999999998</v>
      </c>
      <c r="M61" s="66">
        <v>37.130000000000003</v>
      </c>
      <c r="N61" s="317">
        <f t="shared" si="8"/>
        <v>11.74000000000035</v>
      </c>
      <c r="O61" s="318">
        <f t="shared" si="9"/>
        <v>3.1718928148793523E-3</v>
      </c>
      <c r="P61" s="319"/>
      <c r="Q61" s="320"/>
      <c r="R61" s="324"/>
      <c r="S61" s="323"/>
      <c r="T61" s="73"/>
    </row>
    <row r="62" spans="3:20" x14ac:dyDescent="0.25">
      <c r="C62" s="213">
        <v>59</v>
      </c>
      <c r="D62" s="453"/>
      <c r="E62" s="78" t="e" vm="16">
        <v>#VALUE!</v>
      </c>
      <c r="F62" s="118" t="s">
        <v>13</v>
      </c>
      <c r="G62" s="118" t="s">
        <v>38</v>
      </c>
      <c r="H62" s="81">
        <v>34.506999999999998</v>
      </c>
      <c r="I62" s="81">
        <v>100</v>
      </c>
      <c r="J62" s="81">
        <f t="shared" si="10"/>
        <v>6.76</v>
      </c>
      <c r="K62" s="81">
        <f t="shared" si="6"/>
        <v>34.574600000000004</v>
      </c>
      <c r="L62" s="81">
        <f t="shared" si="7"/>
        <v>3457.4600000000005</v>
      </c>
      <c r="M62" s="66">
        <v>35.69</v>
      </c>
      <c r="N62" s="317">
        <f t="shared" si="8"/>
        <v>111.5399999999994</v>
      </c>
      <c r="O62" s="318">
        <f t="shared" si="9"/>
        <v>3.2260676913109444E-2</v>
      </c>
      <c r="P62" s="319"/>
      <c r="Q62" s="320"/>
      <c r="R62" s="324"/>
    </row>
    <row r="63" spans="3:20" x14ac:dyDescent="0.25">
      <c r="C63" s="213">
        <v>60</v>
      </c>
      <c r="D63" s="302" t="s">
        <v>338</v>
      </c>
      <c r="E63" s="78" t="e" vm="40">
        <v>#VALUE!</v>
      </c>
      <c r="F63" s="118" t="s">
        <v>13</v>
      </c>
      <c r="G63" s="118" t="s">
        <v>38</v>
      </c>
      <c r="H63" s="81">
        <v>78.290000000000006</v>
      </c>
      <c r="I63" s="81">
        <v>100</v>
      </c>
      <c r="J63" s="81">
        <f t="shared" si="10"/>
        <v>6.76</v>
      </c>
      <c r="K63" s="81">
        <f t="shared" si="6"/>
        <v>78.357600000000005</v>
      </c>
      <c r="L63" s="81">
        <f t="shared" si="7"/>
        <v>7835.76</v>
      </c>
      <c r="M63" s="66"/>
      <c r="N63" s="317"/>
      <c r="O63" s="318"/>
      <c r="P63" s="319">
        <v>78.099999999999994</v>
      </c>
      <c r="Q63" s="320">
        <f>(P63-K63)*I63</f>
        <v>-25.760000000001071</v>
      </c>
      <c r="R63" s="324">
        <f>Q63/L63</f>
        <v>-3.2874922151777328E-3</v>
      </c>
      <c r="S63" s="323"/>
      <c r="T63" s="73"/>
    </row>
    <row r="64" spans="3:20" x14ac:dyDescent="0.25">
      <c r="C64" s="213">
        <v>61</v>
      </c>
      <c r="D64" s="302" t="s">
        <v>345</v>
      </c>
      <c r="E64" s="78" t="e" vm="39">
        <v>#VALUE!</v>
      </c>
      <c r="F64" s="118" t="s">
        <v>13</v>
      </c>
      <c r="G64" s="118" t="s">
        <v>37</v>
      </c>
      <c r="H64" s="81">
        <v>133.16</v>
      </c>
      <c r="I64" s="81">
        <v>100</v>
      </c>
      <c r="J64" s="81">
        <f t="shared" si="10"/>
        <v>6.76</v>
      </c>
      <c r="K64" s="81">
        <f t="shared" si="6"/>
        <v>133.2276</v>
      </c>
      <c r="L64" s="81">
        <f t="shared" si="7"/>
        <v>13322.76</v>
      </c>
      <c r="M64" s="66">
        <v>133.5</v>
      </c>
      <c r="N64" s="317">
        <f>(M64-K64)*I64</f>
        <v>27.240000000000464</v>
      </c>
      <c r="O64" s="318">
        <f>N64/L64</f>
        <v>2.044621384758148E-3</v>
      </c>
      <c r="P64" s="319"/>
      <c r="Q64" s="320"/>
      <c r="R64" s="324"/>
      <c r="S64" s="323"/>
      <c r="T64" s="73"/>
    </row>
    <row r="65" spans="3:20" x14ac:dyDescent="0.25">
      <c r="C65" s="213">
        <v>62</v>
      </c>
      <c r="D65" s="302" t="s">
        <v>349</v>
      </c>
      <c r="E65" s="78" t="e" vm="16">
        <v>#VALUE!</v>
      </c>
      <c r="F65" s="118" t="s">
        <v>13</v>
      </c>
      <c r="G65" s="118" t="s">
        <v>38</v>
      </c>
      <c r="H65" s="81">
        <v>32.4</v>
      </c>
      <c r="I65" s="81">
        <v>200</v>
      </c>
      <c r="J65" s="81">
        <f t="shared" si="10"/>
        <v>6.76</v>
      </c>
      <c r="K65" s="81">
        <f t="shared" si="6"/>
        <v>32.433799999999998</v>
      </c>
      <c r="L65" s="81">
        <f t="shared" si="7"/>
        <v>6486.7599999999993</v>
      </c>
      <c r="M65" s="66">
        <v>33.200000000000003</v>
      </c>
      <c r="N65" s="317">
        <f>(M65-K65)*I65</f>
        <v>153.24000000000098</v>
      </c>
      <c r="O65" s="318">
        <f>N65/L65</f>
        <v>2.3623503875586732E-2</v>
      </c>
      <c r="P65" s="319"/>
      <c r="Q65" s="320"/>
      <c r="R65" s="324"/>
    </row>
    <row r="66" spans="3:20" x14ac:dyDescent="0.25">
      <c r="C66" s="213">
        <v>63</v>
      </c>
      <c r="D66" s="303"/>
      <c r="E66" s="78" t="e" vm="7">
        <v>#VALUE!</v>
      </c>
      <c r="F66" s="118" t="s">
        <v>13</v>
      </c>
      <c r="G66" s="118" t="s">
        <v>37</v>
      </c>
      <c r="H66" s="81">
        <v>302</v>
      </c>
      <c r="I66" s="81">
        <v>100</v>
      </c>
      <c r="J66" s="81">
        <f t="shared" si="10"/>
        <v>6.76</v>
      </c>
      <c r="K66" s="81">
        <f t="shared" si="6"/>
        <v>302.06759999999997</v>
      </c>
      <c r="L66" s="81">
        <f t="shared" si="7"/>
        <v>30206.76</v>
      </c>
      <c r="M66" s="66">
        <v>302.60000000000002</v>
      </c>
      <c r="N66" s="317">
        <f>(M66-K66)*I66</f>
        <v>53.240000000005239</v>
      </c>
      <c r="O66" s="318">
        <f>N66/L66</f>
        <v>1.7625193830786633E-3</v>
      </c>
      <c r="P66" s="319"/>
      <c r="Q66" s="320"/>
      <c r="R66" s="324"/>
    </row>
    <row r="67" spans="3:20" x14ac:dyDescent="0.25">
      <c r="C67" s="213">
        <v>64</v>
      </c>
      <c r="D67" s="302" t="s">
        <v>353</v>
      </c>
      <c r="E67" s="78" t="e" vm="39">
        <v>#VALUE!</v>
      </c>
      <c r="F67" s="118" t="s">
        <v>13</v>
      </c>
      <c r="G67" s="118" t="s">
        <v>37</v>
      </c>
      <c r="H67" s="81">
        <v>127</v>
      </c>
      <c r="I67" s="81">
        <v>100</v>
      </c>
      <c r="J67" s="81">
        <f t="shared" si="10"/>
        <v>6.76</v>
      </c>
      <c r="K67" s="81">
        <f t="shared" si="6"/>
        <v>127.0676</v>
      </c>
      <c r="L67" s="81">
        <f t="shared" si="7"/>
        <v>12706.76</v>
      </c>
      <c r="M67" s="66"/>
      <c r="N67" s="317"/>
      <c r="O67" s="318"/>
      <c r="P67" s="319">
        <v>126.5</v>
      </c>
      <c r="Q67" s="320">
        <f>(P67-K67)*I67</f>
        <v>-56.759999999999877</v>
      </c>
      <c r="R67" s="324">
        <f>Q67/L67</f>
        <v>-4.4669136742961912E-3</v>
      </c>
    </row>
    <row r="68" spans="3:20" x14ac:dyDescent="0.25">
      <c r="C68" s="213">
        <v>65</v>
      </c>
      <c r="D68" s="302" t="s">
        <v>379</v>
      </c>
      <c r="E68" s="78" t="e" vm="40">
        <v>#VALUE!</v>
      </c>
      <c r="F68" s="118" t="s">
        <v>13</v>
      </c>
      <c r="G68" s="118" t="s">
        <v>38</v>
      </c>
      <c r="H68" s="81">
        <v>73</v>
      </c>
      <c r="I68" s="81">
        <v>100</v>
      </c>
      <c r="J68" s="81">
        <f t="shared" si="10"/>
        <v>6.76</v>
      </c>
      <c r="K68" s="81">
        <f t="shared" ref="K68:K91" si="11">((H68*I68)+J68)/I68</f>
        <v>73.067599999999999</v>
      </c>
      <c r="L68" s="81">
        <f t="shared" ref="L68:L91" si="12">K68*I68</f>
        <v>7306.76</v>
      </c>
      <c r="M68" s="66">
        <v>73.16</v>
      </c>
      <c r="N68" s="317">
        <f t="shared" ref="N68:N91" si="13">(M68-K68)*I68</f>
        <v>9.2399999999997817</v>
      </c>
      <c r="O68" s="318">
        <f t="shared" ref="O68:O91" si="14">N68/L68</f>
        <v>1.2645823867213075E-3</v>
      </c>
      <c r="P68" s="319"/>
      <c r="Q68" s="320"/>
      <c r="R68" s="324"/>
      <c r="S68" s="323"/>
      <c r="T68" s="73"/>
    </row>
    <row r="69" spans="3:20" x14ac:dyDescent="0.25">
      <c r="C69" s="213">
        <v>66</v>
      </c>
      <c r="D69" s="302"/>
      <c r="E69" s="78" t="e" vm="16">
        <v>#VALUE!</v>
      </c>
      <c r="F69" s="118" t="s">
        <v>13</v>
      </c>
      <c r="G69" s="118" t="s">
        <v>38</v>
      </c>
      <c r="H69" s="81">
        <v>38.6</v>
      </c>
      <c r="I69" s="81">
        <v>100</v>
      </c>
      <c r="J69" s="81">
        <f t="shared" si="10"/>
        <v>6.76</v>
      </c>
      <c r="K69" s="81">
        <f t="shared" si="11"/>
        <v>38.6676</v>
      </c>
      <c r="L69" s="81">
        <f t="shared" si="12"/>
        <v>3866.76</v>
      </c>
      <c r="M69" s="66">
        <v>38.770000000000003</v>
      </c>
      <c r="N69" s="317">
        <f t="shared" si="13"/>
        <v>10.240000000000293</v>
      </c>
      <c r="O69" s="318">
        <f t="shared" si="14"/>
        <v>2.6482119397118757E-3</v>
      </c>
      <c r="P69" s="319"/>
      <c r="Q69" s="320"/>
      <c r="R69" s="324"/>
    </row>
    <row r="70" spans="3:20" x14ac:dyDescent="0.25">
      <c r="C70" s="213">
        <v>67</v>
      </c>
      <c r="D70" s="302"/>
      <c r="E70" s="78" t="e" vm="16">
        <v>#VALUE!</v>
      </c>
      <c r="F70" s="118" t="s">
        <v>13</v>
      </c>
      <c r="G70" s="118" t="s">
        <v>38</v>
      </c>
      <c r="H70" s="81">
        <v>38.799999999999997</v>
      </c>
      <c r="I70" s="81">
        <v>100</v>
      </c>
      <c r="J70" s="81">
        <f t="shared" si="10"/>
        <v>6.76</v>
      </c>
      <c r="K70" s="81">
        <f t="shared" si="11"/>
        <v>38.867599999999996</v>
      </c>
      <c r="L70" s="81">
        <f t="shared" si="12"/>
        <v>3886.7599999999998</v>
      </c>
      <c r="M70" s="66">
        <v>39.01</v>
      </c>
      <c r="N70" s="317">
        <f t="shared" si="13"/>
        <v>14.240000000000208</v>
      </c>
      <c r="O70" s="318">
        <f t="shared" si="14"/>
        <v>3.6637199106711524E-3</v>
      </c>
      <c r="P70" s="319"/>
      <c r="Q70" s="320"/>
      <c r="R70" s="324"/>
    </row>
    <row r="71" spans="3:20" x14ac:dyDescent="0.25">
      <c r="C71" s="213">
        <v>68</v>
      </c>
      <c r="D71" s="302"/>
      <c r="E71" s="78" t="e" vm="40">
        <v>#VALUE!</v>
      </c>
      <c r="F71" s="118" t="s">
        <v>13</v>
      </c>
      <c r="G71" s="118" t="s">
        <v>38</v>
      </c>
      <c r="H71" s="81">
        <v>73.599999999999994</v>
      </c>
      <c r="I71" s="81">
        <v>100</v>
      </c>
      <c r="J71" s="81">
        <f t="shared" si="10"/>
        <v>6.76</v>
      </c>
      <c r="K71" s="81">
        <f t="shared" si="11"/>
        <v>73.667599999999993</v>
      </c>
      <c r="L71" s="81">
        <f t="shared" si="12"/>
        <v>7366.7599999999993</v>
      </c>
      <c r="M71" s="66">
        <v>73.849999999999994</v>
      </c>
      <c r="N71" s="317">
        <f t="shared" si="13"/>
        <v>18.240000000000123</v>
      </c>
      <c r="O71" s="318">
        <f t="shared" si="14"/>
        <v>2.4759867295799137E-3</v>
      </c>
      <c r="P71" s="319"/>
      <c r="Q71" s="320"/>
      <c r="R71" s="324"/>
      <c r="S71" s="323"/>
      <c r="T71" s="73"/>
    </row>
    <row r="72" spans="3:20" x14ac:dyDescent="0.25">
      <c r="C72" s="213">
        <v>69</v>
      </c>
      <c r="D72" s="302"/>
      <c r="E72" s="78" t="e" vm="45">
        <v>#VALUE!</v>
      </c>
      <c r="F72" s="118" t="s">
        <v>13</v>
      </c>
      <c r="G72" s="118" t="s">
        <v>37</v>
      </c>
      <c r="H72" s="81">
        <v>73.900000000000006</v>
      </c>
      <c r="I72" s="81">
        <v>150</v>
      </c>
      <c r="J72" s="81">
        <f t="shared" si="10"/>
        <v>6.76</v>
      </c>
      <c r="K72" s="81">
        <f t="shared" si="11"/>
        <v>73.945066666666662</v>
      </c>
      <c r="L72" s="81">
        <f t="shared" si="12"/>
        <v>11091.759999999998</v>
      </c>
      <c r="M72" s="66">
        <v>74.2</v>
      </c>
      <c r="N72" s="317">
        <f t="shared" si="13"/>
        <v>38.240000000001118</v>
      </c>
      <c r="O72" s="318">
        <f t="shared" si="14"/>
        <v>3.4476043477321113E-3</v>
      </c>
      <c r="P72" s="319"/>
      <c r="Q72" s="320"/>
      <c r="R72" s="324"/>
      <c r="S72" s="323"/>
      <c r="T72" s="73"/>
    </row>
    <row r="73" spans="3:20" x14ac:dyDescent="0.25">
      <c r="C73" s="213">
        <v>70</v>
      </c>
      <c r="D73" s="302" t="s">
        <v>380</v>
      </c>
      <c r="E73" s="78" t="e" vm="40">
        <v>#VALUE!</v>
      </c>
      <c r="F73" s="118" t="s">
        <v>13</v>
      </c>
      <c r="G73" s="118" t="s">
        <v>38</v>
      </c>
      <c r="H73" s="81">
        <v>72.900000000000006</v>
      </c>
      <c r="I73" s="81">
        <v>100</v>
      </c>
      <c r="J73" s="81">
        <f t="shared" si="10"/>
        <v>6.76</v>
      </c>
      <c r="K73" s="81">
        <f t="shared" si="11"/>
        <v>72.967600000000004</v>
      </c>
      <c r="L73" s="81">
        <f t="shared" si="12"/>
        <v>7296.76</v>
      </c>
      <c r="M73" s="66">
        <v>73.5</v>
      </c>
      <c r="N73" s="317">
        <f t="shared" si="13"/>
        <v>53.239999999999554</v>
      </c>
      <c r="O73" s="318">
        <f t="shared" si="14"/>
        <v>7.2963890822775523E-3</v>
      </c>
      <c r="P73" s="319"/>
      <c r="Q73" s="320"/>
      <c r="R73" s="324"/>
      <c r="S73" s="323"/>
      <c r="T73" s="73"/>
    </row>
    <row r="74" spans="3:20" x14ac:dyDescent="0.25">
      <c r="C74" s="213">
        <v>71</v>
      </c>
      <c r="D74" s="302"/>
      <c r="E74" s="78" t="e" vm="29">
        <v>#VALUE!</v>
      </c>
      <c r="F74" s="118" t="s">
        <v>13</v>
      </c>
      <c r="G74" s="118" t="s">
        <v>38</v>
      </c>
      <c r="H74" s="81">
        <v>43</v>
      </c>
      <c r="I74" s="81">
        <v>100</v>
      </c>
      <c r="J74" s="81">
        <f t="shared" si="10"/>
        <v>6.76</v>
      </c>
      <c r="K74" s="81">
        <f t="shared" si="11"/>
        <v>43.067599999999999</v>
      </c>
      <c r="L74" s="81">
        <f t="shared" si="12"/>
        <v>4306.76</v>
      </c>
      <c r="M74" s="66">
        <v>43.4</v>
      </c>
      <c r="N74" s="317">
        <f t="shared" si="13"/>
        <v>33.239999999999981</v>
      </c>
      <c r="O74" s="318">
        <f t="shared" si="14"/>
        <v>7.7180989885668062E-3</v>
      </c>
      <c r="P74" s="319"/>
      <c r="Q74" s="320"/>
      <c r="R74" s="324"/>
      <c r="S74" s="323"/>
      <c r="T74" s="73"/>
    </row>
    <row r="75" spans="3:20" x14ac:dyDescent="0.25">
      <c r="C75" s="213">
        <v>72</v>
      </c>
      <c r="D75" s="461"/>
      <c r="E75" s="78" t="e" vm="40">
        <v>#VALUE!</v>
      </c>
      <c r="F75" s="118" t="s">
        <v>13</v>
      </c>
      <c r="G75" s="118" t="s">
        <v>38</v>
      </c>
      <c r="H75" s="81">
        <v>73.2</v>
      </c>
      <c r="I75" s="81">
        <v>100</v>
      </c>
      <c r="J75" s="81">
        <f t="shared" si="10"/>
        <v>6.76</v>
      </c>
      <c r="K75" s="81">
        <f t="shared" si="11"/>
        <v>73.267600000000002</v>
      </c>
      <c r="L75" s="81">
        <f t="shared" si="12"/>
        <v>7326.76</v>
      </c>
      <c r="M75" s="66">
        <v>73.599999999999994</v>
      </c>
      <c r="N75" s="317">
        <f t="shared" si="13"/>
        <v>33.23999999999927</v>
      </c>
      <c r="O75" s="318">
        <f t="shared" si="14"/>
        <v>4.5367938897956624E-3</v>
      </c>
      <c r="P75" s="319"/>
      <c r="Q75" s="320"/>
      <c r="R75" s="324"/>
      <c r="S75" s="323"/>
      <c r="T75" s="73"/>
    </row>
    <row r="76" spans="3:20" x14ac:dyDescent="0.25">
      <c r="C76" s="213">
        <v>73</v>
      </c>
      <c r="D76" s="453"/>
      <c r="E76" s="78" t="e" vm="29">
        <v>#VALUE!</v>
      </c>
      <c r="F76" s="118" t="s">
        <v>13</v>
      </c>
      <c r="G76" s="118" t="s">
        <v>38</v>
      </c>
      <c r="H76" s="81">
        <v>43.5</v>
      </c>
      <c r="I76" s="81">
        <v>100</v>
      </c>
      <c r="J76" s="81">
        <f t="shared" si="10"/>
        <v>6.76</v>
      </c>
      <c r="K76" s="81">
        <f t="shared" si="11"/>
        <v>43.567599999999999</v>
      </c>
      <c r="L76" s="81">
        <f t="shared" si="12"/>
        <v>4356.76</v>
      </c>
      <c r="M76" s="66">
        <v>43.8</v>
      </c>
      <c r="N76" s="317">
        <f t="shared" si="13"/>
        <v>23.239999999999839</v>
      </c>
      <c r="O76" s="318">
        <f t="shared" si="14"/>
        <v>5.3342392052809513E-3</v>
      </c>
      <c r="P76" s="319"/>
      <c r="Q76" s="320"/>
      <c r="R76" s="324"/>
    </row>
    <row r="77" spans="3:20" x14ac:dyDescent="0.25">
      <c r="C77" s="213">
        <v>74</v>
      </c>
      <c r="D77" s="302" t="s">
        <v>381</v>
      </c>
      <c r="E77" s="78" t="e" vm="38">
        <v>#VALUE!</v>
      </c>
      <c r="F77" s="118" t="s">
        <v>13</v>
      </c>
      <c r="G77" s="118" t="s">
        <v>37</v>
      </c>
      <c r="H77" s="81">
        <v>179</v>
      </c>
      <c r="I77" s="81">
        <v>60</v>
      </c>
      <c r="J77" s="81">
        <f t="shared" si="10"/>
        <v>6.76</v>
      </c>
      <c r="K77" s="81">
        <f t="shared" si="11"/>
        <v>179.11266666666668</v>
      </c>
      <c r="L77" s="81">
        <f t="shared" si="12"/>
        <v>10746.76</v>
      </c>
      <c r="M77" s="66">
        <v>181</v>
      </c>
      <c r="N77" s="317">
        <f t="shared" si="13"/>
        <v>113.23999999999899</v>
      </c>
      <c r="O77" s="318">
        <f t="shared" si="14"/>
        <v>1.0537129330142199E-2</v>
      </c>
      <c r="P77" s="319"/>
      <c r="Q77" s="320"/>
      <c r="R77" s="324"/>
    </row>
    <row r="78" spans="3:20" x14ac:dyDescent="0.25">
      <c r="C78" s="213">
        <v>75</v>
      </c>
      <c r="D78" s="302" t="s">
        <v>382</v>
      </c>
      <c r="E78" s="78" t="e" vm="45">
        <v>#VALUE!</v>
      </c>
      <c r="F78" s="118" t="s">
        <v>13</v>
      </c>
      <c r="G78" s="118" t="s">
        <v>37</v>
      </c>
      <c r="H78" s="81">
        <v>74.900000000000006</v>
      </c>
      <c r="I78" s="81">
        <v>100</v>
      </c>
      <c r="J78" s="81">
        <f t="shared" si="10"/>
        <v>6.76</v>
      </c>
      <c r="K78" s="81">
        <f t="shared" si="11"/>
        <v>74.967600000000004</v>
      </c>
      <c r="L78" s="81">
        <f t="shared" si="12"/>
        <v>7496.76</v>
      </c>
      <c r="M78" s="66">
        <v>75.27</v>
      </c>
      <c r="N78" s="317">
        <f t="shared" si="13"/>
        <v>30.239999999999156</v>
      </c>
      <c r="O78" s="318">
        <f t="shared" si="14"/>
        <v>4.033742576793062E-3</v>
      </c>
      <c r="P78" s="319"/>
      <c r="Q78" s="320"/>
      <c r="R78" s="324"/>
      <c r="S78" s="323"/>
      <c r="T78" s="73"/>
    </row>
    <row r="79" spans="3:20" x14ac:dyDescent="0.25">
      <c r="C79" s="213">
        <v>76</v>
      </c>
      <c r="D79" s="302"/>
      <c r="E79" s="78" t="e" vm="29">
        <v>#VALUE!</v>
      </c>
      <c r="F79" s="118" t="s">
        <v>13</v>
      </c>
      <c r="G79" s="118" t="s">
        <v>38</v>
      </c>
      <c r="H79" s="81">
        <v>45.8</v>
      </c>
      <c r="I79" s="81">
        <v>100</v>
      </c>
      <c r="J79" s="81">
        <f t="shared" si="10"/>
        <v>6.76</v>
      </c>
      <c r="K79" s="81">
        <f t="shared" si="11"/>
        <v>45.867600000000003</v>
      </c>
      <c r="L79" s="81">
        <f t="shared" si="12"/>
        <v>4586.76</v>
      </c>
      <c r="M79" s="66">
        <v>46.5</v>
      </c>
      <c r="N79" s="317">
        <f t="shared" si="13"/>
        <v>63.239999999999696</v>
      </c>
      <c r="O79" s="318">
        <f t="shared" si="14"/>
        <v>1.3787510137875035E-2</v>
      </c>
      <c r="P79" s="319"/>
      <c r="Q79" s="320"/>
      <c r="R79" s="324"/>
      <c r="S79" s="323"/>
      <c r="T79" s="73"/>
    </row>
    <row r="80" spans="3:20" x14ac:dyDescent="0.25">
      <c r="C80" s="213">
        <v>77</v>
      </c>
      <c r="D80" s="302" t="s">
        <v>383</v>
      </c>
      <c r="E80" s="78" t="e" vm="38">
        <v>#VALUE!</v>
      </c>
      <c r="F80" s="118" t="s">
        <v>13</v>
      </c>
      <c r="G80" s="118" t="s">
        <v>37</v>
      </c>
      <c r="H80" s="81">
        <v>169.4</v>
      </c>
      <c r="I80" s="81">
        <v>60</v>
      </c>
      <c r="J80" s="81">
        <f t="shared" si="10"/>
        <v>6.76</v>
      </c>
      <c r="K80" s="81">
        <f t="shared" si="11"/>
        <v>169.51266666666666</v>
      </c>
      <c r="L80" s="81">
        <f t="shared" si="12"/>
        <v>10170.76</v>
      </c>
      <c r="M80" s="66">
        <v>170</v>
      </c>
      <c r="N80" s="317">
        <f t="shared" si="13"/>
        <v>29.24000000000035</v>
      </c>
      <c r="O80" s="318">
        <f t="shared" si="14"/>
        <v>2.8749080698001282E-3</v>
      </c>
      <c r="P80" s="319"/>
      <c r="Q80" s="320"/>
      <c r="R80" s="324"/>
    </row>
    <row r="81" spans="3:20" x14ac:dyDescent="0.25">
      <c r="C81" s="213">
        <v>78</v>
      </c>
      <c r="D81" s="302"/>
      <c r="E81" s="78" t="e" vm="29">
        <v>#VALUE!</v>
      </c>
      <c r="F81" s="118" t="s">
        <v>13</v>
      </c>
      <c r="G81" s="118" t="s">
        <v>38</v>
      </c>
      <c r="H81" s="81">
        <v>43.4</v>
      </c>
      <c r="I81" s="81">
        <v>100</v>
      </c>
      <c r="J81" s="81">
        <f t="shared" si="10"/>
        <v>6.76</v>
      </c>
      <c r="K81" s="81">
        <f t="shared" si="11"/>
        <v>43.467600000000004</v>
      </c>
      <c r="L81" s="81">
        <f t="shared" si="12"/>
        <v>4346.76</v>
      </c>
      <c r="M81" s="66">
        <v>44</v>
      </c>
      <c r="N81" s="317">
        <f t="shared" si="13"/>
        <v>53.239999999999554</v>
      </c>
      <c r="O81" s="318">
        <f t="shared" si="14"/>
        <v>1.2248203259439112E-2</v>
      </c>
      <c r="P81" s="319"/>
      <c r="Q81" s="320"/>
      <c r="R81" s="324"/>
      <c r="S81" s="323"/>
      <c r="T81" s="73"/>
    </row>
    <row r="82" spans="3:20" x14ac:dyDescent="0.25">
      <c r="C82" s="213">
        <v>79</v>
      </c>
      <c r="D82" s="302"/>
      <c r="E82" s="78" t="e" vm="20">
        <v>#VALUE!</v>
      </c>
      <c r="F82" s="118" t="s">
        <v>13</v>
      </c>
      <c r="G82" s="118" t="s">
        <v>37</v>
      </c>
      <c r="H82" s="81">
        <v>373</v>
      </c>
      <c r="I82" s="81">
        <v>100</v>
      </c>
      <c r="J82" s="81">
        <f t="shared" si="10"/>
        <v>6.76</v>
      </c>
      <c r="K82" s="81">
        <f t="shared" si="11"/>
        <v>373.06760000000003</v>
      </c>
      <c r="L82" s="81">
        <f t="shared" si="12"/>
        <v>37306.76</v>
      </c>
      <c r="M82" s="66">
        <v>373.3</v>
      </c>
      <c r="N82" s="317">
        <f t="shared" si="13"/>
        <v>23.239999999998417</v>
      </c>
      <c r="O82" s="318">
        <f t="shared" si="14"/>
        <v>6.2294340221446241E-4</v>
      </c>
      <c r="P82" s="319"/>
      <c r="Q82" s="320"/>
      <c r="R82" s="324"/>
      <c r="S82" s="323"/>
      <c r="T82" s="73"/>
    </row>
    <row r="83" spans="3:20" x14ac:dyDescent="0.25">
      <c r="C83" s="213">
        <v>80</v>
      </c>
      <c r="D83" s="302" t="s">
        <v>385</v>
      </c>
      <c r="E83" s="78" t="e" vm="29">
        <v>#VALUE!</v>
      </c>
      <c r="F83" s="118" t="s">
        <v>13</v>
      </c>
      <c r="G83" s="118" t="s">
        <v>38</v>
      </c>
      <c r="H83" s="81">
        <v>43</v>
      </c>
      <c r="I83" s="81">
        <v>100</v>
      </c>
      <c r="J83" s="81">
        <f t="shared" si="10"/>
        <v>6.76</v>
      </c>
      <c r="K83" s="81">
        <f t="shared" si="11"/>
        <v>43.067599999999999</v>
      </c>
      <c r="L83" s="81">
        <f t="shared" si="12"/>
        <v>4306.76</v>
      </c>
      <c r="M83" s="66">
        <v>44.4</v>
      </c>
      <c r="N83" s="317">
        <f t="shared" si="13"/>
        <v>133.23999999999998</v>
      </c>
      <c r="O83" s="318">
        <f t="shared" si="14"/>
        <v>3.0937410025169726E-2</v>
      </c>
      <c r="P83" s="319"/>
      <c r="Q83" s="320"/>
      <c r="R83" s="324"/>
      <c r="S83" s="323"/>
      <c r="T83" s="73"/>
    </row>
    <row r="84" spans="3:20" x14ac:dyDescent="0.25">
      <c r="C84" s="213">
        <v>81</v>
      </c>
      <c r="D84" s="461"/>
      <c r="E84" s="78" t="e" vm="40">
        <v>#VALUE!</v>
      </c>
      <c r="F84" s="118" t="s">
        <v>13</v>
      </c>
      <c r="G84" s="118" t="s">
        <v>38</v>
      </c>
      <c r="H84" s="81">
        <v>67.8</v>
      </c>
      <c r="I84" s="81">
        <v>50</v>
      </c>
      <c r="J84" s="81">
        <f t="shared" si="10"/>
        <v>6.76</v>
      </c>
      <c r="K84" s="81">
        <f t="shared" si="11"/>
        <v>67.935200000000009</v>
      </c>
      <c r="L84" s="81">
        <f t="shared" si="12"/>
        <v>3396.76</v>
      </c>
      <c r="M84" s="66">
        <v>68.8</v>
      </c>
      <c r="N84" s="317">
        <f t="shared" si="13"/>
        <v>43.239999999999412</v>
      </c>
      <c r="O84" s="318">
        <f t="shared" si="14"/>
        <v>1.2729777788245095E-2</v>
      </c>
      <c r="P84" s="319"/>
      <c r="Q84" s="320"/>
      <c r="R84" s="324"/>
      <c r="S84" s="323"/>
      <c r="T84" s="73"/>
    </row>
    <row r="85" spans="3:20" x14ac:dyDescent="0.25">
      <c r="C85" s="213">
        <v>82</v>
      </c>
      <c r="D85" s="302"/>
      <c r="E85" s="78" t="e" vm="28">
        <v>#VALUE!</v>
      </c>
      <c r="F85" s="118" t="s">
        <v>13</v>
      </c>
      <c r="G85" s="118" t="s">
        <v>37</v>
      </c>
      <c r="H85" s="81">
        <v>191.75</v>
      </c>
      <c r="I85" s="81">
        <v>100</v>
      </c>
      <c r="J85" s="81">
        <f t="shared" si="10"/>
        <v>6.76</v>
      </c>
      <c r="K85" s="81">
        <f t="shared" si="11"/>
        <v>191.81759999999997</v>
      </c>
      <c r="L85" s="81">
        <f t="shared" si="12"/>
        <v>19181.759999999998</v>
      </c>
      <c r="M85" s="66">
        <v>192.1</v>
      </c>
      <c r="N85" s="317">
        <f t="shared" si="13"/>
        <v>28.240000000002397</v>
      </c>
      <c r="O85" s="318">
        <f t="shared" si="14"/>
        <v>1.4722319536894632E-3</v>
      </c>
      <c r="P85" s="319"/>
      <c r="Q85" s="320"/>
      <c r="R85" s="324"/>
      <c r="S85" s="323"/>
      <c r="T85" s="73"/>
    </row>
    <row r="86" spans="3:20" x14ac:dyDescent="0.25">
      <c r="C86" s="213">
        <v>83</v>
      </c>
      <c r="D86" s="302" t="s">
        <v>387</v>
      </c>
      <c r="E86" s="78" t="e" vm="7">
        <v>#VALUE!</v>
      </c>
      <c r="F86" s="118" t="s">
        <v>13</v>
      </c>
      <c r="G86" s="118" t="s">
        <v>37</v>
      </c>
      <c r="H86" s="81">
        <v>371.5</v>
      </c>
      <c r="I86" s="81">
        <v>50</v>
      </c>
      <c r="J86" s="81">
        <f t="shared" si="10"/>
        <v>6.76</v>
      </c>
      <c r="K86" s="81">
        <f t="shared" si="11"/>
        <v>371.63519999999994</v>
      </c>
      <c r="L86" s="81">
        <f t="shared" si="12"/>
        <v>18581.759999999998</v>
      </c>
      <c r="M86" s="66">
        <v>373</v>
      </c>
      <c r="N86" s="317">
        <f t="shared" si="13"/>
        <v>68.240000000002965</v>
      </c>
      <c r="O86" s="318">
        <f t="shared" si="14"/>
        <v>3.6724185437764221E-3</v>
      </c>
      <c r="P86" s="319"/>
      <c r="Q86" s="320"/>
      <c r="R86" s="324"/>
    </row>
    <row r="87" spans="3:20" x14ac:dyDescent="0.25">
      <c r="C87" s="213">
        <v>84</v>
      </c>
      <c r="D87" s="461"/>
      <c r="E87" s="78" t="e" vm="7">
        <v>#VALUE!</v>
      </c>
      <c r="F87" s="118" t="s">
        <v>13</v>
      </c>
      <c r="G87" s="118" t="s">
        <v>37</v>
      </c>
      <c r="H87" s="81">
        <v>371.5</v>
      </c>
      <c r="I87" s="81">
        <v>50</v>
      </c>
      <c r="J87" s="81">
        <f>2.88+1</f>
        <v>3.88</v>
      </c>
      <c r="K87" s="81">
        <f t="shared" si="11"/>
        <v>371.57760000000002</v>
      </c>
      <c r="L87" s="81">
        <f t="shared" si="12"/>
        <v>18578.88</v>
      </c>
      <c r="M87" s="66">
        <v>371.81</v>
      </c>
      <c r="N87" s="317">
        <f t="shared" si="13"/>
        <v>11.619999999999209</v>
      </c>
      <c r="O87" s="318">
        <f t="shared" si="14"/>
        <v>6.2544136137373228E-4</v>
      </c>
      <c r="P87" s="319"/>
      <c r="Q87" s="320"/>
      <c r="R87" s="324"/>
      <c r="S87" s="323"/>
      <c r="T87" s="73"/>
    </row>
    <row r="88" spans="3:20" x14ac:dyDescent="0.25">
      <c r="C88" s="213">
        <v>85</v>
      </c>
      <c r="D88" s="302" t="s">
        <v>389</v>
      </c>
      <c r="E88" s="78" t="e" vm="29">
        <v>#VALUE!</v>
      </c>
      <c r="F88" s="118" t="s">
        <v>13</v>
      </c>
      <c r="G88" s="118" t="s">
        <v>38</v>
      </c>
      <c r="H88" s="81">
        <v>42.7</v>
      </c>
      <c r="I88" s="81">
        <v>100</v>
      </c>
      <c r="J88" s="81">
        <f t="shared" ref="J88:J101" si="15">2.88*2+1</f>
        <v>6.76</v>
      </c>
      <c r="K88" s="81">
        <f t="shared" si="11"/>
        <v>42.767600000000002</v>
      </c>
      <c r="L88" s="81">
        <f t="shared" si="12"/>
        <v>4276.76</v>
      </c>
      <c r="M88" s="66">
        <v>43</v>
      </c>
      <c r="N88" s="317">
        <f t="shared" si="13"/>
        <v>23.239999999999839</v>
      </c>
      <c r="O88" s="318">
        <f t="shared" si="14"/>
        <v>5.4340201460918629E-3</v>
      </c>
      <c r="P88" s="319"/>
      <c r="Q88" s="320"/>
      <c r="R88" s="324"/>
      <c r="S88" s="323"/>
      <c r="T88" s="73"/>
    </row>
    <row r="89" spans="3:20" x14ac:dyDescent="0.25">
      <c r="C89" s="213">
        <v>86</v>
      </c>
      <c r="D89" s="302" t="s">
        <v>390</v>
      </c>
      <c r="E89" s="78" t="e" vm="38">
        <v>#VALUE!</v>
      </c>
      <c r="F89" s="118" t="s">
        <v>13</v>
      </c>
      <c r="G89" s="118" t="s">
        <v>37</v>
      </c>
      <c r="H89" s="81">
        <v>163.80000000000001</v>
      </c>
      <c r="I89" s="81">
        <v>50</v>
      </c>
      <c r="J89" s="81">
        <f t="shared" si="15"/>
        <v>6.76</v>
      </c>
      <c r="K89" s="81">
        <f t="shared" si="11"/>
        <v>163.93520000000001</v>
      </c>
      <c r="L89" s="81">
        <f t="shared" si="12"/>
        <v>8196.76</v>
      </c>
      <c r="M89" s="66">
        <v>164.3</v>
      </c>
      <c r="N89" s="317">
        <f t="shared" si="13"/>
        <v>18.240000000000123</v>
      </c>
      <c r="O89" s="318">
        <f t="shared" si="14"/>
        <v>2.2252694967279905E-3</v>
      </c>
      <c r="P89" s="319"/>
      <c r="Q89" s="320"/>
      <c r="R89" s="324"/>
    </row>
    <row r="90" spans="3:20" x14ac:dyDescent="0.25">
      <c r="C90" s="213">
        <v>87</v>
      </c>
      <c r="D90" s="302"/>
      <c r="E90" s="78" t="e" vm="29">
        <v>#VALUE!</v>
      </c>
      <c r="F90" s="118" t="s">
        <v>13</v>
      </c>
      <c r="G90" s="118" t="s">
        <v>38</v>
      </c>
      <c r="H90" s="81">
        <v>44.3</v>
      </c>
      <c r="I90" s="81">
        <v>100</v>
      </c>
      <c r="J90" s="81">
        <f t="shared" si="15"/>
        <v>6.76</v>
      </c>
      <c r="K90" s="81">
        <f t="shared" si="11"/>
        <v>44.367600000000003</v>
      </c>
      <c r="L90" s="81">
        <f t="shared" si="12"/>
        <v>4436.76</v>
      </c>
      <c r="M90" s="66">
        <v>44.5</v>
      </c>
      <c r="N90" s="317">
        <f t="shared" si="13"/>
        <v>13.239999999999696</v>
      </c>
      <c r="O90" s="318">
        <f t="shared" si="14"/>
        <v>2.9841596119690259E-3</v>
      </c>
      <c r="P90" s="319"/>
      <c r="Q90" s="320"/>
      <c r="R90" s="324"/>
      <c r="S90" s="323"/>
      <c r="T90" s="73"/>
    </row>
    <row r="91" spans="3:20" x14ac:dyDescent="0.25">
      <c r="C91" s="213">
        <v>88</v>
      </c>
      <c r="D91" s="461"/>
      <c r="E91" s="78" t="e" vm="6">
        <v>#VALUE!</v>
      </c>
      <c r="F91" s="118" t="s">
        <v>13</v>
      </c>
      <c r="G91" s="118" t="s">
        <v>37</v>
      </c>
      <c r="H91" s="81">
        <v>148.9</v>
      </c>
      <c r="I91" s="81">
        <v>100</v>
      </c>
      <c r="J91" s="81">
        <f t="shared" si="15"/>
        <v>6.76</v>
      </c>
      <c r="K91" s="81">
        <f t="shared" si="11"/>
        <v>148.9676</v>
      </c>
      <c r="L91" s="81">
        <f t="shared" si="12"/>
        <v>14896.76</v>
      </c>
      <c r="M91" s="66">
        <v>149.25</v>
      </c>
      <c r="N91" s="317">
        <f t="shared" si="13"/>
        <v>28.239999999999554</v>
      </c>
      <c r="O91" s="318">
        <f t="shared" si="14"/>
        <v>1.8957142358472282E-3</v>
      </c>
      <c r="P91" s="319"/>
      <c r="Q91" s="320"/>
      <c r="R91" s="324"/>
      <c r="S91" s="323"/>
      <c r="T91" s="73"/>
    </row>
    <row r="92" spans="3:20" x14ac:dyDescent="0.25">
      <c r="C92" s="213">
        <v>89</v>
      </c>
      <c r="D92" s="302" t="s">
        <v>399</v>
      </c>
      <c r="E92" s="78" t="e" vm="44">
        <v>#VALUE!</v>
      </c>
      <c r="F92" s="118" t="s">
        <v>13</v>
      </c>
      <c r="G92" s="118" t="s">
        <v>37</v>
      </c>
      <c r="H92" s="81">
        <v>3328</v>
      </c>
      <c r="I92" s="81">
        <v>10</v>
      </c>
      <c r="J92" s="81">
        <f t="shared" si="15"/>
        <v>6.76</v>
      </c>
      <c r="K92" s="81">
        <f t="shared" ref="K92" si="16">((H92*I92)+J92)/I92</f>
        <v>3328.6760000000004</v>
      </c>
      <c r="L92" s="81">
        <f t="shared" ref="L92" si="17">K92*I92</f>
        <v>33286.76</v>
      </c>
      <c r="M92" s="66">
        <v>3332</v>
      </c>
      <c r="N92" s="317">
        <f t="shared" ref="N92" si="18">(M92-K92)*I92</f>
        <v>33.239999999996144</v>
      </c>
      <c r="O92" s="318">
        <f t="shared" ref="O92" si="19">N92/L92</f>
        <v>9.9859523726539149E-4</v>
      </c>
      <c r="P92" s="319"/>
      <c r="Q92" s="320"/>
      <c r="R92" s="324"/>
    </row>
    <row r="93" spans="3:20" x14ac:dyDescent="0.25">
      <c r="C93" s="213">
        <v>90</v>
      </c>
      <c r="D93" s="302" t="s">
        <v>401</v>
      </c>
      <c r="E93" s="78" t="e" vm="80">
        <v>#VALUE!</v>
      </c>
      <c r="F93" s="118" t="s">
        <v>13</v>
      </c>
      <c r="G93" s="118" t="s">
        <v>39</v>
      </c>
      <c r="H93" s="81">
        <v>41.8</v>
      </c>
      <c r="I93" s="81">
        <v>100</v>
      </c>
      <c r="J93" s="81">
        <f t="shared" si="15"/>
        <v>6.76</v>
      </c>
      <c r="K93" s="81">
        <f t="shared" ref="K93" si="20">((H93*I93)+J93)/I93</f>
        <v>41.867600000000003</v>
      </c>
      <c r="L93" s="81">
        <f t="shared" ref="L93" si="21">K93*I93</f>
        <v>4186.76</v>
      </c>
      <c r="M93" s="66">
        <v>42.2</v>
      </c>
      <c r="N93" s="317">
        <f t="shared" ref="N93" si="22">(M93-K93)*I93</f>
        <v>33.239999999999981</v>
      </c>
      <c r="O93" s="318">
        <f t="shared" ref="O93" si="23">N93/L93</f>
        <v>7.9393134547955883E-3</v>
      </c>
      <c r="P93" s="319"/>
      <c r="Q93" s="320"/>
      <c r="R93" s="324"/>
      <c r="S93" s="323"/>
      <c r="T93" s="73"/>
    </row>
    <row r="94" spans="3:20" x14ac:dyDescent="0.25">
      <c r="C94" s="213">
        <v>91</v>
      </c>
      <c r="D94" s="302"/>
      <c r="E94" s="78" t="e" vm="27">
        <v>#VALUE!</v>
      </c>
      <c r="F94" s="118" t="s">
        <v>13</v>
      </c>
      <c r="G94" s="118" t="s">
        <v>37</v>
      </c>
      <c r="H94" s="81">
        <v>79</v>
      </c>
      <c r="I94" s="81">
        <v>100</v>
      </c>
      <c r="J94" s="81">
        <f t="shared" si="15"/>
        <v>6.76</v>
      </c>
      <c r="K94" s="81">
        <f t="shared" ref="K94:K96" si="24">((H94*I94)+J94)/I94</f>
        <v>79.067599999999999</v>
      </c>
      <c r="L94" s="81">
        <f t="shared" ref="L94:L96" si="25">K94*I94</f>
        <v>7906.76</v>
      </c>
      <c r="M94" s="66">
        <v>79.599999999999994</v>
      </c>
      <c r="N94" s="317">
        <f t="shared" ref="N94:N96" si="26">(M94-K94)*I94</f>
        <v>53.239999999999554</v>
      </c>
      <c r="O94" s="318">
        <f t="shared" ref="O94:O96" si="27">N94/L94</f>
        <v>6.7334786941806194E-3</v>
      </c>
      <c r="P94" s="319"/>
      <c r="Q94" s="320"/>
      <c r="R94" s="324"/>
      <c r="S94" s="323"/>
      <c r="T94" s="73"/>
    </row>
    <row r="95" spans="3:20" x14ac:dyDescent="0.25">
      <c r="C95" s="213">
        <v>92</v>
      </c>
      <c r="D95" s="302" t="s">
        <v>402</v>
      </c>
      <c r="E95" s="78" t="e" vm="29">
        <v>#VALUE!</v>
      </c>
      <c r="F95" s="118" t="s">
        <v>13</v>
      </c>
      <c r="G95" s="118" t="s">
        <v>38</v>
      </c>
      <c r="H95" s="81">
        <v>45.4</v>
      </c>
      <c r="I95" s="81">
        <v>100</v>
      </c>
      <c r="J95" s="81">
        <f t="shared" si="15"/>
        <v>6.76</v>
      </c>
      <c r="K95" s="81">
        <f t="shared" si="24"/>
        <v>45.467600000000004</v>
      </c>
      <c r="L95" s="81">
        <f t="shared" si="25"/>
        <v>4546.76</v>
      </c>
      <c r="M95" s="66">
        <v>45.6</v>
      </c>
      <c r="N95" s="317">
        <f t="shared" si="26"/>
        <v>13.239999999999696</v>
      </c>
      <c r="O95" s="318">
        <f t="shared" si="27"/>
        <v>2.9119636840298797E-3</v>
      </c>
      <c r="P95" s="319"/>
      <c r="Q95" s="320"/>
      <c r="R95" s="324"/>
      <c r="S95" s="323"/>
      <c r="T95" s="73"/>
    </row>
    <row r="96" spans="3:20" x14ac:dyDescent="0.25">
      <c r="C96" s="213">
        <v>93</v>
      </c>
      <c r="D96" s="461"/>
      <c r="E96" s="78" t="e" vm="6">
        <v>#VALUE!</v>
      </c>
      <c r="F96" s="118" t="s">
        <v>13</v>
      </c>
      <c r="G96" s="118" t="s">
        <v>37</v>
      </c>
      <c r="H96" s="81">
        <v>147.80000000000001</v>
      </c>
      <c r="I96" s="81">
        <v>100</v>
      </c>
      <c r="J96" s="81">
        <f t="shared" si="15"/>
        <v>6.76</v>
      </c>
      <c r="K96" s="81">
        <f t="shared" si="24"/>
        <v>147.86760000000001</v>
      </c>
      <c r="L96" s="81">
        <f t="shared" si="25"/>
        <v>14786.76</v>
      </c>
      <c r="M96" s="66">
        <v>148.6</v>
      </c>
      <c r="N96" s="317">
        <f t="shared" si="26"/>
        <v>73.239999999998417</v>
      </c>
      <c r="O96" s="318">
        <f t="shared" si="27"/>
        <v>4.9530796469272791E-3</v>
      </c>
      <c r="P96" s="319"/>
      <c r="Q96" s="320"/>
      <c r="R96" s="324"/>
      <c r="S96" s="323"/>
      <c r="T96" s="73"/>
    </row>
    <row r="97" spans="3:20" x14ac:dyDescent="0.25">
      <c r="C97" s="213">
        <v>94</v>
      </c>
      <c r="D97" s="302" t="s">
        <v>403</v>
      </c>
      <c r="E97" s="78" t="e" vm="16">
        <v>#VALUE!</v>
      </c>
      <c r="F97" s="118" t="s">
        <v>13</v>
      </c>
      <c r="G97" s="118" t="s">
        <v>38</v>
      </c>
      <c r="H97" s="81">
        <v>39.4</v>
      </c>
      <c r="I97" s="81">
        <v>50</v>
      </c>
      <c r="J97" s="81">
        <f t="shared" si="15"/>
        <v>6.76</v>
      </c>
      <c r="K97" s="81">
        <f t="shared" ref="K97" si="28">((H97*I97)+J97)/I97</f>
        <v>39.535200000000003</v>
      </c>
      <c r="L97" s="81">
        <f t="shared" ref="L97" si="29">K97*I97</f>
        <v>1976.7600000000002</v>
      </c>
      <c r="M97" s="66">
        <v>40</v>
      </c>
      <c r="N97" s="317">
        <f t="shared" ref="N97" si="30">(M97-K97)*I97</f>
        <v>23.239999999999839</v>
      </c>
      <c r="O97" s="318">
        <f t="shared" ref="O97" si="31">N97/L97</f>
        <v>1.1756611829458223E-2</v>
      </c>
      <c r="P97" s="319"/>
      <c r="Q97" s="320"/>
      <c r="R97" s="324"/>
      <c r="S97" s="323"/>
      <c r="T97" s="73"/>
    </row>
    <row r="98" spans="3:20" x14ac:dyDescent="0.25">
      <c r="C98" s="213">
        <v>95</v>
      </c>
      <c r="D98" s="302" t="s">
        <v>405</v>
      </c>
      <c r="E98" s="78" t="e" vm="40">
        <v>#VALUE!</v>
      </c>
      <c r="F98" s="118" t="s">
        <v>13</v>
      </c>
      <c r="G98" s="118" t="s">
        <v>38</v>
      </c>
      <c r="H98" s="81">
        <v>66.099999999999994</v>
      </c>
      <c r="I98" s="81">
        <v>100</v>
      </c>
      <c r="J98" s="81">
        <f t="shared" si="15"/>
        <v>6.76</v>
      </c>
      <c r="K98" s="81">
        <f t="shared" ref="K98:K99" si="32">((H98*I98)+J98)/I98</f>
        <v>66.167599999999993</v>
      </c>
      <c r="L98" s="81">
        <f t="shared" ref="L98:L99" si="33">K98*I98</f>
        <v>6616.7599999999993</v>
      </c>
      <c r="M98" s="66">
        <v>66.5</v>
      </c>
      <c r="N98" s="317">
        <f t="shared" ref="N98:N99" si="34">(M98-K98)*I98</f>
        <v>33.240000000000691</v>
      </c>
      <c r="O98" s="318">
        <f t="shared" ref="O98:O99" si="35">N98/L98</f>
        <v>5.0236067199053158E-3</v>
      </c>
      <c r="P98" s="319"/>
      <c r="Q98" s="320"/>
      <c r="R98" s="324"/>
      <c r="S98" s="323"/>
      <c r="T98" s="73"/>
    </row>
    <row r="99" spans="3:20" x14ac:dyDescent="0.25">
      <c r="C99" s="213">
        <v>96</v>
      </c>
      <c r="D99" s="302" t="s">
        <v>408</v>
      </c>
      <c r="E99" s="78" t="e" vm="44">
        <v>#VALUE!</v>
      </c>
      <c r="F99" s="118" t="s">
        <v>13</v>
      </c>
      <c r="G99" s="118" t="s">
        <v>37</v>
      </c>
      <c r="H99" s="81">
        <v>3220</v>
      </c>
      <c r="I99" s="81">
        <v>4</v>
      </c>
      <c r="J99" s="81">
        <f t="shared" si="15"/>
        <v>6.76</v>
      </c>
      <c r="K99" s="81">
        <f t="shared" si="32"/>
        <v>3221.69</v>
      </c>
      <c r="L99" s="81">
        <f t="shared" si="33"/>
        <v>12886.76</v>
      </c>
      <c r="M99" s="66">
        <v>3230</v>
      </c>
      <c r="N99" s="317">
        <f t="shared" si="34"/>
        <v>33.239999999999782</v>
      </c>
      <c r="O99" s="318">
        <f t="shared" si="35"/>
        <v>2.5793915615717048E-3</v>
      </c>
      <c r="P99" s="319"/>
      <c r="Q99" s="320"/>
      <c r="R99" s="324"/>
    </row>
    <row r="100" spans="3:20" x14ac:dyDescent="0.25">
      <c r="C100" s="213">
        <v>97</v>
      </c>
      <c r="D100" s="302" t="s">
        <v>410</v>
      </c>
      <c r="E100" s="78" t="e" vm="14">
        <v>#VALUE!</v>
      </c>
      <c r="F100" s="118" t="s">
        <v>13</v>
      </c>
      <c r="G100" s="118" t="s">
        <v>37</v>
      </c>
      <c r="H100" s="81">
        <v>161.6</v>
      </c>
      <c r="I100" s="81">
        <v>50</v>
      </c>
      <c r="J100" s="81">
        <f>2.88*2+1</f>
        <v>6.76</v>
      </c>
      <c r="K100" s="81">
        <f t="shared" ref="K100:K101" si="36">((H100*I100)+J100)/I100</f>
        <v>161.73519999999999</v>
      </c>
      <c r="L100" s="81">
        <f t="shared" ref="L100:L101" si="37">K100*I100</f>
        <v>8086.7599999999993</v>
      </c>
      <c r="M100" s="66">
        <v>162.4</v>
      </c>
      <c r="N100" s="317">
        <f t="shared" ref="N100" si="38">(M100-K100)*I100</f>
        <v>33.240000000000691</v>
      </c>
      <c r="O100" s="318">
        <f t="shared" ref="O100" si="39">N100/L100</f>
        <v>4.110422468331037E-3</v>
      </c>
      <c r="P100" s="319"/>
      <c r="Q100" s="320"/>
      <c r="R100" s="324"/>
    </row>
    <row r="101" spans="3:20" x14ac:dyDescent="0.25">
      <c r="C101" s="213">
        <v>98</v>
      </c>
      <c r="D101" s="302"/>
      <c r="E101" s="78" t="e" vm="44">
        <v>#VALUE!</v>
      </c>
      <c r="F101" s="118" t="s">
        <v>13</v>
      </c>
      <c r="G101" s="118" t="s">
        <v>37</v>
      </c>
      <c r="H101" s="81">
        <v>3218</v>
      </c>
      <c r="I101" s="81">
        <v>4</v>
      </c>
      <c r="J101" s="81">
        <f t="shared" si="15"/>
        <v>6.76</v>
      </c>
      <c r="K101" s="81">
        <f t="shared" si="36"/>
        <v>3219.69</v>
      </c>
      <c r="L101" s="81">
        <f t="shared" si="37"/>
        <v>12878.76</v>
      </c>
      <c r="M101" s="66"/>
      <c r="N101" s="317"/>
      <c r="O101" s="318"/>
      <c r="P101" s="319">
        <v>3202</v>
      </c>
      <c r="Q101" s="320">
        <f>(P101-K101)*I101</f>
        <v>-70.760000000000218</v>
      </c>
      <c r="R101" s="324">
        <f>Q101/L101</f>
        <v>-5.4943177759349668E-3</v>
      </c>
    </row>
    <row r="102" spans="3:20" x14ac:dyDescent="0.25">
      <c r="C102" s="213">
        <v>99</v>
      </c>
      <c r="D102" s="461"/>
      <c r="E102" s="78" t="e" vm="14">
        <v>#VALUE!</v>
      </c>
      <c r="F102" s="118" t="s">
        <v>13</v>
      </c>
      <c r="G102" s="118" t="s">
        <v>37</v>
      </c>
      <c r="H102" s="81">
        <v>161.80000000000001</v>
      </c>
      <c r="I102" s="81">
        <v>50</v>
      </c>
      <c r="J102" s="81">
        <f>2.88*2+1</f>
        <v>6.76</v>
      </c>
      <c r="K102" s="81">
        <f t="shared" ref="K102" si="40">((H102*I102)+J102)/I102</f>
        <v>161.93520000000001</v>
      </c>
      <c r="L102" s="81">
        <f t="shared" ref="L102" si="41">K102*I102</f>
        <v>8096.76</v>
      </c>
      <c r="M102" s="66"/>
      <c r="N102" s="317"/>
      <c r="O102" s="318"/>
      <c r="P102" s="319">
        <v>160.5</v>
      </c>
      <c r="Q102" s="320">
        <f>(P102-K102)*I102</f>
        <v>-71.760000000000446</v>
      </c>
      <c r="R102" s="324">
        <f>Q102/L102</f>
        <v>-8.8628043810117189E-3</v>
      </c>
    </row>
    <row r="103" spans="3:20" x14ac:dyDescent="0.25">
      <c r="C103" s="213">
        <v>101</v>
      </c>
      <c r="D103" s="302" t="s">
        <v>412</v>
      </c>
      <c r="E103" s="78" t="e" vm="75">
        <v>#VALUE!</v>
      </c>
      <c r="F103" s="118" t="s">
        <v>13</v>
      </c>
      <c r="G103" s="118" t="s">
        <v>37</v>
      </c>
      <c r="H103" s="81">
        <f>(126.3*13+126*37)/50</f>
        <v>126.07799999999999</v>
      </c>
      <c r="I103" s="190">
        <v>50</v>
      </c>
      <c r="J103" s="81">
        <f>2.88*3+1</f>
        <v>9.64</v>
      </c>
      <c r="K103" s="81">
        <f t="shared" ref="K103" si="42">((H103*I103)+J103)/I103</f>
        <v>126.27079999999999</v>
      </c>
      <c r="L103" s="81">
        <f t="shared" ref="L103" si="43">K103*I103</f>
        <v>6313.54</v>
      </c>
      <c r="M103" s="66">
        <v>126.5</v>
      </c>
      <c r="N103" s="317">
        <f t="shared" ref="N103" si="44">(M103-K103)*I103</f>
        <v>11.460000000000292</v>
      </c>
      <c r="O103" s="318">
        <f t="shared" ref="O103" si="45">N103/L103</f>
        <v>1.815146494676567E-3</v>
      </c>
      <c r="P103" s="319"/>
      <c r="Q103" s="320"/>
      <c r="R103" s="324"/>
    </row>
    <row r="104" spans="3:20" x14ac:dyDescent="0.25">
      <c r="C104" s="213">
        <v>102</v>
      </c>
      <c r="D104" s="302" t="s">
        <v>417</v>
      </c>
      <c r="E104" s="78" t="e" vm="47">
        <v>#VALUE!</v>
      </c>
      <c r="F104" s="118" t="s">
        <v>13</v>
      </c>
      <c r="G104" s="118" t="s">
        <v>37</v>
      </c>
      <c r="H104" s="81">
        <v>152.80000000000001</v>
      </c>
      <c r="I104" s="190">
        <v>100</v>
      </c>
      <c r="J104" s="81">
        <f>2.88*2+1</f>
        <v>6.76</v>
      </c>
      <c r="K104" s="81">
        <f t="shared" ref="K104:K107" si="46">((H104*I104)+J104)/I104</f>
        <v>152.86760000000001</v>
      </c>
      <c r="L104" s="81">
        <f t="shared" ref="L104:L107" si="47">K104*I104</f>
        <v>15286.76</v>
      </c>
      <c r="M104" s="66">
        <v>154</v>
      </c>
      <c r="N104" s="317">
        <f t="shared" ref="N104:N107" si="48">(M104-K104)*I104</f>
        <v>113.23999999999899</v>
      </c>
      <c r="O104" s="318">
        <f t="shared" ref="O104:O107" si="49">N104/L104</f>
        <v>7.4077175281092259E-3</v>
      </c>
      <c r="P104" s="319"/>
      <c r="Q104" s="320"/>
      <c r="R104" s="324"/>
    </row>
    <row r="105" spans="3:20" x14ac:dyDescent="0.25">
      <c r="C105" s="213">
        <v>103</v>
      </c>
      <c r="D105" s="302" t="s">
        <v>420</v>
      </c>
      <c r="E105" s="78" t="e" vm="50">
        <v>#VALUE!</v>
      </c>
      <c r="F105" s="118" t="s">
        <v>13</v>
      </c>
      <c r="G105" s="118" t="s">
        <v>38</v>
      </c>
      <c r="H105" s="81">
        <f>(64.5*100+63*50)/150</f>
        <v>64</v>
      </c>
      <c r="I105" s="81">
        <v>150</v>
      </c>
      <c r="J105" s="81">
        <f>2.88*3+1</f>
        <v>9.64</v>
      </c>
      <c r="K105" s="81">
        <f t="shared" si="46"/>
        <v>64.064266666666668</v>
      </c>
      <c r="L105" s="81">
        <f t="shared" si="47"/>
        <v>9609.64</v>
      </c>
      <c r="M105" s="66">
        <v>64.2</v>
      </c>
      <c r="N105" s="317">
        <f t="shared" si="48"/>
        <v>20.360000000000156</v>
      </c>
      <c r="O105" s="318">
        <f t="shared" si="49"/>
        <v>2.1187057995929251E-3</v>
      </c>
      <c r="P105" s="319"/>
      <c r="Q105" s="320"/>
      <c r="R105" s="324"/>
      <c r="S105" s="323"/>
      <c r="T105" s="73"/>
    </row>
    <row r="106" spans="3:20" x14ac:dyDescent="0.25">
      <c r="C106" s="213">
        <v>104</v>
      </c>
      <c r="D106" s="302"/>
      <c r="E106" s="78" t="e" vm="27">
        <v>#VALUE!</v>
      </c>
      <c r="F106" s="118" t="s">
        <v>13</v>
      </c>
      <c r="G106" s="118" t="s">
        <v>37</v>
      </c>
      <c r="H106" s="81">
        <v>59</v>
      </c>
      <c r="I106" s="81">
        <v>100</v>
      </c>
      <c r="J106" s="81">
        <f t="shared" ref="J106:J107" si="50">2.88*2+1</f>
        <v>6.76</v>
      </c>
      <c r="K106" s="81">
        <f t="shared" si="46"/>
        <v>59.067599999999999</v>
      </c>
      <c r="L106" s="81">
        <f t="shared" si="47"/>
        <v>5906.76</v>
      </c>
      <c r="M106" s="66">
        <v>59.3</v>
      </c>
      <c r="N106" s="317">
        <f t="shared" si="48"/>
        <v>23.239999999999839</v>
      </c>
      <c r="O106" s="318">
        <f t="shared" si="49"/>
        <v>3.9344750760145729E-3</v>
      </c>
      <c r="P106" s="319"/>
      <c r="Q106" s="320"/>
      <c r="R106" s="324"/>
      <c r="S106" s="323"/>
      <c r="T106" s="73"/>
    </row>
    <row r="107" spans="3:20" x14ac:dyDescent="0.25">
      <c r="C107" s="213">
        <v>105</v>
      </c>
      <c r="D107" s="302"/>
      <c r="E107" s="78" t="e" vm="11">
        <v>#VALUE!</v>
      </c>
      <c r="F107" s="118" t="s">
        <v>13</v>
      </c>
      <c r="G107" s="118" t="s">
        <v>38</v>
      </c>
      <c r="H107" s="81">
        <v>31.2</v>
      </c>
      <c r="I107" s="81">
        <v>100</v>
      </c>
      <c r="J107" s="81">
        <f t="shared" si="50"/>
        <v>6.76</v>
      </c>
      <c r="K107" s="81">
        <f t="shared" si="46"/>
        <v>31.267600000000002</v>
      </c>
      <c r="L107" s="81">
        <f t="shared" si="47"/>
        <v>3126.76</v>
      </c>
      <c r="M107" s="66">
        <v>31.6</v>
      </c>
      <c r="N107" s="317">
        <f t="shared" si="48"/>
        <v>33.239999999999981</v>
      </c>
      <c r="O107" s="318">
        <f t="shared" si="49"/>
        <v>1.0630812726272556E-2</v>
      </c>
      <c r="P107" s="319"/>
      <c r="Q107" s="320"/>
      <c r="R107" s="324"/>
      <c r="S107" s="323"/>
      <c r="T107" s="73"/>
    </row>
    <row r="108" spans="3:20" x14ac:dyDescent="0.25">
      <c r="C108" s="213">
        <v>106</v>
      </c>
      <c r="D108" s="302" t="s">
        <v>426</v>
      </c>
      <c r="E108" s="78" t="e" vm="16">
        <v>#VALUE!</v>
      </c>
      <c r="F108" s="118" t="s">
        <v>13</v>
      </c>
      <c r="G108" s="118" t="s">
        <v>38</v>
      </c>
      <c r="H108" s="81">
        <f>(51.3+48.7+49+48.8)/4</f>
        <v>49.45</v>
      </c>
      <c r="I108" s="81">
        <v>400</v>
      </c>
      <c r="J108" s="81">
        <f>2.88*8+1</f>
        <v>24.04</v>
      </c>
      <c r="K108" s="81">
        <f t="shared" ref="K108:K110" si="51">((H108*I108)+J108)/I108</f>
        <v>49.510100000000001</v>
      </c>
      <c r="L108" s="81">
        <f t="shared" ref="L108:L110" si="52">K108*I108</f>
        <v>19804.04</v>
      </c>
      <c r="M108" s="66"/>
      <c r="N108" s="317"/>
      <c r="O108" s="318"/>
      <c r="P108" s="319">
        <f>(49.2+49.2+49.4+50)/4</f>
        <v>49.45</v>
      </c>
      <c r="Q108" s="320">
        <f>(P108-K108)*I108</f>
        <v>-24.039999999999395</v>
      </c>
      <c r="R108" s="324">
        <f>Q108/L108</f>
        <v>-1.2138937307740942E-3</v>
      </c>
      <c r="S108" s="323"/>
      <c r="T108" s="73"/>
    </row>
    <row r="109" spans="3:20" x14ac:dyDescent="0.25">
      <c r="C109" s="213">
        <v>107</v>
      </c>
      <c r="D109" s="302" t="s">
        <v>427</v>
      </c>
      <c r="E109" s="78" t="s">
        <v>428</v>
      </c>
      <c r="F109" s="118" t="s">
        <v>12</v>
      </c>
      <c r="G109" s="118" t="s">
        <v>37</v>
      </c>
      <c r="H109" s="81">
        <v>474.8</v>
      </c>
      <c r="I109" s="81">
        <v>1000</v>
      </c>
      <c r="J109" s="81">
        <f>(H109*I109+P109*I109)*0.12%+(H109*I109+P109*I109)*(0.1%+0.002%+0.0027%+0.005%)</f>
        <v>2177.7856999999995</v>
      </c>
      <c r="K109" s="81">
        <f t="shared" si="51"/>
        <v>476.97778570000003</v>
      </c>
      <c r="L109" s="81">
        <f t="shared" si="52"/>
        <v>476977.78570000001</v>
      </c>
      <c r="M109" s="321"/>
      <c r="N109" s="317"/>
      <c r="O109" s="318"/>
      <c r="P109" s="322">
        <v>473.3</v>
      </c>
      <c r="Q109" s="320">
        <f>(P109-K109)*I109/7.8</f>
        <v>-471.51098717948918</v>
      </c>
      <c r="R109" s="324">
        <f>Q109/L109</f>
        <v>-9.8853867269208797E-4</v>
      </c>
    </row>
    <row r="110" spans="3:20" x14ac:dyDescent="0.25">
      <c r="C110" s="213">
        <v>108</v>
      </c>
      <c r="D110" s="302" t="s">
        <v>440</v>
      </c>
      <c r="E110" s="78" t="e" vm="44">
        <v>#VALUE!</v>
      </c>
      <c r="F110" s="118" t="s">
        <v>13</v>
      </c>
      <c r="G110" s="118" t="s">
        <v>37</v>
      </c>
      <c r="H110" s="81">
        <v>3155</v>
      </c>
      <c r="I110" s="81">
        <v>20</v>
      </c>
      <c r="J110" s="81">
        <f t="shared" ref="J110:J114" si="53">2.88*2+1</f>
        <v>6.76</v>
      </c>
      <c r="K110" s="81">
        <f t="shared" si="51"/>
        <v>3155.3380000000002</v>
      </c>
      <c r="L110" s="81">
        <f t="shared" si="52"/>
        <v>63106.76</v>
      </c>
      <c r="M110" s="66">
        <v>3165</v>
      </c>
      <c r="N110" s="317">
        <f t="shared" ref="N110" si="54">(M110-K110)*I110</f>
        <v>193.23999999999614</v>
      </c>
      <c r="O110" s="318">
        <f t="shared" ref="O110" si="55">N110/L110</f>
        <v>3.0621125217012591E-3</v>
      </c>
      <c r="P110" s="319"/>
      <c r="Q110" s="320"/>
      <c r="R110" s="324"/>
    </row>
    <row r="111" spans="3:20" x14ac:dyDescent="0.25">
      <c r="C111" s="213">
        <v>109</v>
      </c>
      <c r="D111" s="302" t="s">
        <v>438</v>
      </c>
      <c r="E111" s="78" t="e" vm="44">
        <v>#VALUE!</v>
      </c>
      <c r="F111" s="118" t="s">
        <v>13</v>
      </c>
      <c r="G111" s="118" t="s">
        <v>37</v>
      </c>
      <c r="H111" s="81">
        <v>3149.9</v>
      </c>
      <c r="I111" s="81">
        <v>5</v>
      </c>
      <c r="J111" s="81">
        <f t="shared" si="53"/>
        <v>6.76</v>
      </c>
      <c r="K111" s="81">
        <f t="shared" ref="K111:K112" si="56">((H111*I111)+J111)/I111</f>
        <v>3151.252</v>
      </c>
      <c r="L111" s="81">
        <f t="shared" ref="L111:L112" si="57">K111*I111</f>
        <v>15756.26</v>
      </c>
      <c r="M111" s="66"/>
      <c r="N111" s="317"/>
      <c r="O111" s="318"/>
      <c r="P111" s="319">
        <v>3140.4</v>
      </c>
      <c r="Q111" s="320">
        <f>(P111-K111)*I111</f>
        <v>-54.259999999999309</v>
      </c>
      <c r="R111" s="324">
        <f>Q111/L111</f>
        <v>-3.4437106267603676E-3</v>
      </c>
    </row>
    <row r="112" spans="3:20" x14ac:dyDescent="0.25">
      <c r="C112" s="213"/>
      <c r="D112" s="461"/>
      <c r="E112" s="78" t="e" vm="54">
        <v>#VALUE!</v>
      </c>
      <c r="F112" s="118" t="s">
        <v>13</v>
      </c>
      <c r="G112" s="118" t="s">
        <v>37</v>
      </c>
      <c r="H112" s="81">
        <v>175</v>
      </c>
      <c r="I112" s="81">
        <v>80</v>
      </c>
      <c r="J112" s="81">
        <f t="shared" si="53"/>
        <v>6.76</v>
      </c>
      <c r="K112" s="81">
        <f t="shared" si="56"/>
        <v>175.08449999999999</v>
      </c>
      <c r="L112" s="81">
        <f t="shared" si="57"/>
        <v>14006.759999999998</v>
      </c>
      <c r="M112" s="66">
        <v>175.6</v>
      </c>
      <c r="N112" s="317">
        <f t="shared" ref="N112" si="58">(M112-K112)*I112</f>
        <v>41.240000000000236</v>
      </c>
      <c r="O112" s="318">
        <f t="shared" ref="O112" si="59">N112/L112</f>
        <v>2.9442926129954567E-3</v>
      </c>
      <c r="P112" s="319"/>
      <c r="Q112" s="320"/>
      <c r="R112" s="324"/>
    </row>
    <row r="113" spans="3:20" x14ac:dyDescent="0.25">
      <c r="C113" s="213"/>
      <c r="D113" s="461"/>
      <c r="E113" s="78" t="e" vm="54">
        <v>#VALUE!</v>
      </c>
      <c r="F113" s="118" t="s">
        <v>13</v>
      </c>
      <c r="G113" s="118" t="s">
        <v>37</v>
      </c>
      <c r="H113" s="81">
        <v>173.5</v>
      </c>
      <c r="I113" s="81">
        <v>80</v>
      </c>
      <c r="J113" s="81">
        <f t="shared" si="53"/>
        <v>6.76</v>
      </c>
      <c r="K113" s="81">
        <f t="shared" ref="K113" si="60">((H113*I113)+J113)/I113</f>
        <v>173.58449999999999</v>
      </c>
      <c r="L113" s="81">
        <f t="shared" ref="L113" si="61">K113*I113</f>
        <v>13886.759999999998</v>
      </c>
      <c r="M113" s="66">
        <v>173.93</v>
      </c>
      <c r="N113" s="317">
        <f t="shared" ref="N113" si="62">(M113-K113)*I113</f>
        <v>27.640000000001237</v>
      </c>
      <c r="O113" s="318">
        <f t="shared" ref="O113" si="63">N113/L113</f>
        <v>1.990385086226106E-3</v>
      </c>
      <c r="P113" s="319"/>
      <c r="Q113" s="320"/>
      <c r="R113" s="324"/>
    </row>
    <row r="114" spans="3:20" x14ac:dyDescent="0.25">
      <c r="C114" s="213"/>
      <c r="D114" s="461"/>
      <c r="E114" s="78" t="e" vm="53">
        <v>#VALUE!</v>
      </c>
      <c r="F114" s="118" t="s">
        <v>13</v>
      </c>
      <c r="G114" s="118" t="s">
        <v>37</v>
      </c>
      <c r="H114" s="81">
        <v>2737</v>
      </c>
      <c r="I114" s="81">
        <v>10</v>
      </c>
      <c r="J114" s="81">
        <f t="shared" si="53"/>
        <v>6.76</v>
      </c>
      <c r="K114" s="81">
        <f t="shared" ref="K114" si="64">((H114*I114)+J114)/I114</f>
        <v>2737.6759999999999</v>
      </c>
      <c r="L114" s="81">
        <f t="shared" ref="L114" si="65">K114*I114</f>
        <v>27376.76</v>
      </c>
      <c r="M114" s="66">
        <v>2742</v>
      </c>
      <c r="N114" s="317">
        <f t="shared" ref="N114" si="66">(M114-K114)*I114</f>
        <v>43.240000000000691</v>
      </c>
      <c r="O114" s="318">
        <f t="shared" ref="O114" si="67">N114/L114</f>
        <v>1.5794418331460953E-3</v>
      </c>
      <c r="P114" s="319"/>
      <c r="Q114" s="320"/>
      <c r="R114" s="324"/>
    </row>
    <row r="115" spans="3:20" x14ac:dyDescent="0.25">
      <c r="C115" s="213"/>
      <c r="D115" s="461"/>
      <c r="E115" s="78" t="e" vm="28">
        <v>#VALUE!</v>
      </c>
      <c r="F115" s="118" t="s">
        <v>13</v>
      </c>
      <c r="G115" s="118" t="s">
        <v>37</v>
      </c>
      <c r="H115" s="81">
        <f>(253*10+251.8*5)/15</f>
        <v>252.6</v>
      </c>
      <c r="I115" s="81">
        <v>15</v>
      </c>
      <c r="J115" s="81">
        <f>2.88*3+1</f>
        <v>9.64</v>
      </c>
      <c r="K115" s="81">
        <f t="shared" ref="K115:K116" si="68">((H115*I115)+J115)/I115</f>
        <v>253.24266666666665</v>
      </c>
      <c r="L115" s="81">
        <f t="shared" ref="L115:L116" si="69">K115*I115</f>
        <v>3798.64</v>
      </c>
      <c r="M115" s="66">
        <v>256</v>
      </c>
      <c r="N115" s="317">
        <f t="shared" ref="N115" si="70">(M115-K115)*I115</f>
        <v>41.360000000000241</v>
      </c>
      <c r="O115" s="318">
        <f t="shared" ref="O115" si="71">N115/L115</f>
        <v>1.088810732262079E-2</v>
      </c>
      <c r="P115" s="319"/>
      <c r="Q115" s="320"/>
      <c r="R115" s="324"/>
    </row>
    <row r="116" spans="3:20" x14ac:dyDescent="0.25">
      <c r="C116" s="213">
        <v>109</v>
      </c>
      <c r="D116" s="302" t="s">
        <v>443</v>
      </c>
      <c r="E116" s="78" t="e" vm="44">
        <v>#VALUE!</v>
      </c>
      <c r="F116" s="118" t="s">
        <v>13</v>
      </c>
      <c r="G116" s="118" t="s">
        <v>37</v>
      </c>
      <c r="H116" s="81">
        <f>(3140*20+3134*2+3125*1)/23</f>
        <v>3138.8260869565215</v>
      </c>
      <c r="I116" s="81">
        <v>20</v>
      </c>
      <c r="J116" s="81">
        <f>2.88*4+1</f>
        <v>12.52</v>
      </c>
      <c r="K116" s="81">
        <f t="shared" si="68"/>
        <v>3139.4520869565213</v>
      </c>
      <c r="L116" s="81">
        <f t="shared" si="69"/>
        <v>62789.041739130422</v>
      </c>
      <c r="M116" s="66"/>
      <c r="N116" s="317"/>
      <c r="O116" s="318"/>
      <c r="P116" s="319">
        <v>3117</v>
      </c>
      <c r="Q116" s="320">
        <f>(P116-K116)*I116</f>
        <v>-449.04173913042541</v>
      </c>
      <c r="R116" s="324">
        <f>Q116/L116</f>
        <v>-7.1515940790442181E-3</v>
      </c>
    </row>
    <row r="117" spans="3:20" x14ac:dyDescent="0.25">
      <c r="C117" s="213"/>
      <c r="D117" s="461"/>
      <c r="E117" s="78" t="e" vm="44">
        <v>#VALUE!</v>
      </c>
      <c r="F117" s="118" t="s">
        <v>13</v>
      </c>
      <c r="G117" s="118" t="s">
        <v>37</v>
      </c>
      <c r="H117" s="81">
        <v>3115</v>
      </c>
      <c r="I117" s="81">
        <v>10</v>
      </c>
      <c r="J117" s="81">
        <f>2.88*2+1</f>
        <v>6.76</v>
      </c>
      <c r="K117" s="81">
        <f t="shared" ref="K117:K118" si="72">((H117*I117)+J117)/I117</f>
        <v>3115.6759999999999</v>
      </c>
      <c r="L117" s="81">
        <f t="shared" ref="L117:L118" si="73">K117*I117</f>
        <v>31156.76</v>
      </c>
      <c r="M117" s="66">
        <v>3122.3</v>
      </c>
      <c r="N117" s="317">
        <f t="shared" ref="N117" si="74">(M117-K117)*I117</f>
        <v>66.24000000000251</v>
      </c>
      <c r="O117" s="318">
        <f t="shared" ref="O117" si="75">N117/L117</f>
        <v>2.1260233734188829E-3</v>
      </c>
      <c r="P117" s="319"/>
      <c r="Q117" s="320"/>
      <c r="R117" s="324"/>
    </row>
    <row r="118" spans="3:20" x14ac:dyDescent="0.25">
      <c r="C118" s="213"/>
      <c r="D118" s="461"/>
      <c r="E118" s="78" t="e" vm="44">
        <v>#VALUE!</v>
      </c>
      <c r="F118" s="118" t="s">
        <v>13</v>
      </c>
      <c r="G118" s="118" t="s">
        <v>37</v>
      </c>
      <c r="H118" s="81">
        <f>(3113*15+3104*1)/16</f>
        <v>3112.4375</v>
      </c>
      <c r="I118" s="81">
        <v>16</v>
      </c>
      <c r="J118" s="81">
        <f>2.88*3+1</f>
        <v>9.64</v>
      </c>
      <c r="K118" s="81">
        <f t="shared" si="72"/>
        <v>3113.04</v>
      </c>
      <c r="L118" s="81">
        <f t="shared" si="73"/>
        <v>49808.639999999999</v>
      </c>
      <c r="M118" s="66"/>
      <c r="N118" s="317"/>
      <c r="O118" s="318"/>
      <c r="P118" s="319">
        <v>3072</v>
      </c>
      <c r="Q118" s="320">
        <f>(P118-K118)*I118</f>
        <v>-656.63999999999942</v>
      </c>
      <c r="R118" s="324">
        <f>Q118/L118</f>
        <v>-1.3183254953357478E-2</v>
      </c>
    </row>
    <row r="119" spans="3:20" x14ac:dyDescent="0.25">
      <c r="C119" s="213"/>
      <c r="D119" s="461"/>
      <c r="E119" s="78" t="e" vm="53">
        <v>#VALUE!</v>
      </c>
      <c r="F119" s="118" t="s">
        <v>13</v>
      </c>
      <c r="G119" s="118" t="s">
        <v>37</v>
      </c>
      <c r="H119" s="81">
        <v>2720</v>
      </c>
      <c r="I119" s="81">
        <v>5</v>
      </c>
      <c r="J119" s="81">
        <f>2.88*2+1</f>
        <v>6.76</v>
      </c>
      <c r="K119" s="81">
        <f t="shared" ref="K119" si="76">((H119*I119)+J119)/I119</f>
        <v>2721.3519999999999</v>
      </c>
      <c r="L119" s="81">
        <f t="shared" ref="L119" si="77">K119*I119</f>
        <v>13606.759999999998</v>
      </c>
      <c r="M119" s="66"/>
      <c r="N119" s="317"/>
      <c r="O119" s="318"/>
      <c r="P119" s="319">
        <v>2700</v>
      </c>
      <c r="Q119" s="320">
        <f>(P119-K119)*I119</f>
        <v>-106.75999999999931</v>
      </c>
      <c r="R119" s="324">
        <f>Q119/L119</f>
        <v>-7.8461000267513598E-3</v>
      </c>
    </row>
    <row r="120" spans="3:20" x14ac:dyDescent="0.25">
      <c r="C120" s="213"/>
      <c r="D120" s="461"/>
      <c r="E120" s="78"/>
      <c r="F120" s="118"/>
      <c r="G120" s="118"/>
      <c r="H120" s="81"/>
      <c r="I120" s="81"/>
      <c r="J120" s="81"/>
      <c r="K120" s="81"/>
      <c r="L120" s="81"/>
      <c r="M120" s="81"/>
      <c r="N120" s="279"/>
      <c r="O120" s="261"/>
      <c r="P120" s="81"/>
      <c r="Q120" s="279"/>
      <c r="R120" s="454"/>
    </row>
    <row r="121" spans="3:20" x14ac:dyDescent="0.25">
      <c r="C121" s="213"/>
      <c r="D121" s="461"/>
      <c r="E121" s="78"/>
      <c r="F121" s="118"/>
      <c r="G121" s="118"/>
      <c r="H121" s="81"/>
      <c r="I121" s="81"/>
      <c r="J121" s="81"/>
      <c r="K121" s="81"/>
      <c r="L121" s="81"/>
      <c r="M121" s="81"/>
      <c r="N121" s="279"/>
      <c r="O121" s="261"/>
      <c r="P121" s="81"/>
      <c r="Q121" s="279"/>
      <c r="R121" s="454"/>
    </row>
    <row r="122" spans="3:20" x14ac:dyDescent="0.25">
      <c r="C122" s="213"/>
      <c r="D122" s="461"/>
      <c r="E122" s="78"/>
      <c r="F122" s="118"/>
      <c r="G122" s="118"/>
      <c r="H122" s="81"/>
      <c r="I122" s="81"/>
      <c r="J122" s="81"/>
      <c r="K122" s="81"/>
      <c r="L122" s="81"/>
      <c r="M122" s="81"/>
      <c r="N122" s="279"/>
      <c r="O122" s="261"/>
      <c r="P122" s="81"/>
      <c r="Q122" s="279"/>
      <c r="R122" s="454"/>
    </row>
    <row r="123" spans="3:20" x14ac:dyDescent="0.25">
      <c r="C123" s="213"/>
      <c r="D123" s="461"/>
      <c r="E123" s="78"/>
      <c r="F123" s="118"/>
      <c r="G123" s="118"/>
      <c r="H123" s="81"/>
      <c r="I123" s="81"/>
      <c r="J123" s="81"/>
      <c r="K123" s="81"/>
      <c r="L123" s="81"/>
      <c r="M123" s="81"/>
      <c r="N123" s="279"/>
      <c r="O123" s="261"/>
      <c r="P123" s="81"/>
      <c r="Q123" s="279"/>
      <c r="R123" s="454"/>
    </row>
    <row r="124" spans="3:20" x14ac:dyDescent="0.25">
      <c r="C124" s="213"/>
      <c r="D124" s="461"/>
      <c r="E124" s="78"/>
      <c r="F124" s="118"/>
      <c r="G124" s="118"/>
      <c r="H124" s="81"/>
      <c r="I124" s="81"/>
      <c r="J124" s="81"/>
      <c r="K124" s="81"/>
      <c r="L124" s="81"/>
      <c r="M124" s="81"/>
      <c r="N124" s="279"/>
      <c r="O124" s="261"/>
      <c r="P124" s="81"/>
      <c r="Q124" s="279"/>
      <c r="R124" s="454"/>
    </row>
    <row r="125" spans="3:20" x14ac:dyDescent="0.25">
      <c r="C125" s="213"/>
      <c r="D125" s="461"/>
      <c r="E125" s="78"/>
      <c r="F125" s="118"/>
      <c r="G125" s="118"/>
      <c r="H125" s="81"/>
      <c r="I125" s="81"/>
      <c r="J125" s="81"/>
      <c r="K125" s="81"/>
      <c r="L125" s="81"/>
      <c r="M125" s="81"/>
      <c r="N125" s="279"/>
      <c r="O125" s="261"/>
      <c r="P125" s="81"/>
      <c r="Q125" s="279"/>
      <c r="R125" s="454"/>
    </row>
    <row r="126" spans="3:20" x14ac:dyDescent="0.25">
      <c r="C126" s="213"/>
      <c r="D126" s="461"/>
      <c r="E126" s="78"/>
      <c r="F126" s="118"/>
      <c r="G126" s="118"/>
      <c r="H126" s="81"/>
      <c r="I126" s="81"/>
      <c r="J126" s="81"/>
      <c r="K126" s="81"/>
      <c r="L126" s="81"/>
      <c r="M126" s="81"/>
      <c r="N126" s="279"/>
      <c r="O126" s="261"/>
      <c r="P126" s="81"/>
      <c r="Q126" s="279"/>
      <c r="R126" s="454"/>
      <c r="S126" s="323"/>
      <c r="T126" s="73"/>
    </row>
    <row r="127" spans="3:20" x14ac:dyDescent="0.25">
      <c r="C127" s="213"/>
      <c r="D127" s="461"/>
      <c r="E127" s="78"/>
      <c r="F127" s="118"/>
      <c r="G127" s="118"/>
      <c r="H127" s="81"/>
      <c r="I127" s="81"/>
      <c r="J127" s="81"/>
      <c r="K127" s="81"/>
      <c r="L127" s="81"/>
      <c r="M127" s="81"/>
      <c r="N127" s="279"/>
      <c r="O127" s="261"/>
      <c r="P127" s="81"/>
      <c r="Q127" s="279"/>
      <c r="R127" s="454"/>
      <c r="S127" s="323"/>
      <c r="T127" s="73"/>
    </row>
    <row r="128" spans="3:20" x14ac:dyDescent="0.25">
      <c r="C128" s="215"/>
      <c r="D128" s="455"/>
      <c r="E128" s="456"/>
      <c r="F128" s="457"/>
      <c r="G128" s="457"/>
      <c r="H128" s="216"/>
      <c r="I128" s="216"/>
      <c r="J128" s="216"/>
      <c r="K128" s="216"/>
      <c r="L128" s="216"/>
      <c r="M128" s="216"/>
      <c r="N128" s="458"/>
      <c r="O128" s="459"/>
      <c r="P128" s="216"/>
      <c r="Q128" s="458"/>
      <c r="R128" s="460"/>
    </row>
    <row r="129" spans="3:18" x14ac:dyDescent="0.25">
      <c r="C129" s="152"/>
      <c r="D129" s="46"/>
      <c r="E129" s="78" t="s">
        <v>5</v>
      </c>
      <c r="F129" s="118"/>
      <c r="G129" s="118"/>
      <c r="H129" s="90"/>
      <c r="I129" s="81"/>
      <c r="J129" s="81">
        <f>SUM(J4:J8,J9:J12,J14:J15,J19:J24,J28,J29:J32,J33:J34,J35:J38,J39:J108,SUM(J13,J16:J18,J25:J26,J27,J109)/7.8)</f>
        <v>2351.9205384615379</v>
      </c>
      <c r="K129" s="81"/>
      <c r="L129" s="81"/>
      <c r="M129" s="81"/>
      <c r="N129" s="279">
        <f>SUM(N4:N5,N9:N12,N14:N15,N19:N21,N24,N26,N28,N29,N31:N32,N33:N34,N35:N37,N40,N42:N128)</f>
        <v>5906.824746153854</v>
      </c>
      <c r="O129" s="261"/>
      <c r="P129" s="81"/>
      <c r="Q129" s="279">
        <f>SUM(Q6:Q8,Q13,Q16:Q18,Q22:Q23,Q25,Q27,Q30,Q38,Q39,Q41,Q63,Q67,Q101:Q102,Q108:Q109,Q111:Q119)</f>
        <v>-5325.0415724637633</v>
      </c>
      <c r="R129" s="261"/>
    </row>
    <row r="130" spans="3:18" x14ac:dyDescent="0.25">
      <c r="Q130" s="301">
        <f>N129+Q129</f>
        <v>581.78317369009073</v>
      </c>
    </row>
    <row r="131" spans="3:18" x14ac:dyDescent="0.25">
      <c r="H131" s="290"/>
    </row>
    <row r="133" spans="3:18" x14ac:dyDescent="0.25">
      <c r="D133" s="305" t="s">
        <v>160</v>
      </c>
      <c r="M133" s="162" t="s">
        <v>84</v>
      </c>
      <c r="N133" s="39"/>
    </row>
    <row r="134" spans="3:18" x14ac:dyDescent="0.25">
      <c r="D134" s="46"/>
      <c r="E134" s="358" t="s">
        <v>42</v>
      </c>
      <c r="F134" s="358" t="s">
        <v>124</v>
      </c>
      <c r="G134" s="358" t="s">
        <v>181</v>
      </c>
      <c r="H134" s="358" t="s">
        <v>10</v>
      </c>
      <c r="I134" s="358" t="s">
        <v>189</v>
      </c>
      <c r="J134" s="358" t="s">
        <v>190</v>
      </c>
      <c r="M134" s="257" t="s">
        <v>50</v>
      </c>
      <c r="N134" s="257" t="s">
        <v>0</v>
      </c>
      <c r="O134" s="258" t="s">
        <v>30</v>
      </c>
      <c r="P134" s="192" t="s">
        <v>180</v>
      </c>
    </row>
    <row r="135" spans="3:18" x14ac:dyDescent="0.25">
      <c r="D135" s="46" t="s">
        <v>122</v>
      </c>
      <c r="E135" s="48">
        <f>N129</f>
        <v>5906.824746153854</v>
      </c>
      <c r="F135" s="48">
        <f>COUNT(N4:N5,N9:N12,N14:N15,N19:N21,N24,N26,N28:N29,N31:N37,N40,N42:N62,N64:N66,N68:N76)</f>
        <v>56</v>
      </c>
      <c r="G135" s="48"/>
      <c r="H135" s="46"/>
      <c r="I135" s="46"/>
      <c r="J135" s="46"/>
      <c r="M135" s="519">
        <v>1</v>
      </c>
      <c r="N135" s="520" t="s">
        <v>297</v>
      </c>
      <c r="O135" s="521">
        <v>1282.0399999999968</v>
      </c>
      <c r="P135" s="46" t="s">
        <v>166</v>
      </c>
    </row>
    <row r="136" spans="3:18" x14ac:dyDescent="0.25">
      <c r="D136" s="46" t="s">
        <v>123</v>
      </c>
      <c r="E136" s="48">
        <f>Q129</f>
        <v>-5325.0415724637633</v>
      </c>
      <c r="F136" s="48">
        <f>COUNT(Q6:Q8,Q13,Q16:Q18,Q22:Q23,Q25,Q27,Q30,Q38:Q39,Q41,Q63,Q67)</f>
        <v>17</v>
      </c>
      <c r="G136" s="48"/>
      <c r="H136" s="46"/>
      <c r="I136" s="46"/>
      <c r="J136" s="46"/>
      <c r="M136" s="519">
        <v>2</v>
      </c>
      <c r="N136" s="520" t="s">
        <v>111</v>
      </c>
      <c r="O136" s="522">
        <v>644.31999999999846</v>
      </c>
      <c r="P136" s="46" t="s">
        <v>166</v>
      </c>
    </row>
    <row r="137" spans="3:18" x14ac:dyDescent="0.25">
      <c r="D137" s="151" t="s">
        <v>5</v>
      </c>
      <c r="E137" s="331">
        <f>SUM(E135:E136)</f>
        <v>581.78317369009073</v>
      </c>
      <c r="F137" s="331">
        <f>SUM(F135:F136)</f>
        <v>73</v>
      </c>
      <c r="G137" s="331"/>
      <c r="H137" s="151"/>
      <c r="I137" s="151"/>
      <c r="J137" s="151"/>
      <c r="M137" s="519">
        <v>3</v>
      </c>
      <c r="N137" s="520" t="s">
        <v>85</v>
      </c>
      <c r="O137" s="521">
        <v>557.48000000000036</v>
      </c>
      <c r="P137" s="46" t="s">
        <v>127</v>
      </c>
    </row>
    <row r="138" spans="3:18" x14ac:dyDescent="0.25">
      <c r="D138" s="96"/>
      <c r="E138" s="333"/>
      <c r="F138" s="333"/>
      <c r="G138" s="333"/>
      <c r="H138" s="98"/>
      <c r="I138" s="98"/>
      <c r="J138" s="199"/>
      <c r="M138" s="519">
        <v>4</v>
      </c>
      <c r="N138" s="520" t="s">
        <v>294</v>
      </c>
      <c r="O138" s="521">
        <v>306.87999999999749</v>
      </c>
      <c r="P138" s="46" t="s">
        <v>166</v>
      </c>
    </row>
    <row r="139" spans="3:18" x14ac:dyDescent="0.25">
      <c r="D139" s="338" t="str">
        <f>D4</f>
        <v>01/12/2021</v>
      </c>
      <c r="E139" s="339">
        <f>SUM(N4:N5,Q6:Q8)</f>
        <v>-556.55999999999176</v>
      </c>
      <c r="F139" s="339">
        <f>COUNT(N4:N5,Q6:Q8)</f>
        <v>5</v>
      </c>
      <c r="G139" s="339" t="s">
        <v>183</v>
      </c>
      <c r="H139" s="340">
        <v>2.8E-3</v>
      </c>
      <c r="I139" s="340">
        <v>4.0000000000000002E-4</v>
      </c>
      <c r="J139" s="340">
        <v>1.9E-3</v>
      </c>
      <c r="M139" s="519">
        <v>5</v>
      </c>
      <c r="N139" s="520" t="s">
        <v>341</v>
      </c>
      <c r="O139" s="521">
        <v>289.2600000000009</v>
      </c>
      <c r="P139" s="46" t="s">
        <v>166</v>
      </c>
    </row>
    <row r="140" spans="3:18" x14ac:dyDescent="0.25">
      <c r="D140" s="304" t="str">
        <f>D9</f>
        <v>01/13/2021</v>
      </c>
      <c r="E140" s="48">
        <f>SUM(N9:N12)</f>
        <v>250.45999999998827</v>
      </c>
      <c r="F140" s="48">
        <f>COUNT(N9:N12)</f>
        <v>4</v>
      </c>
      <c r="G140" s="48" t="s">
        <v>184</v>
      </c>
      <c r="H140" s="86">
        <v>4.3E-3</v>
      </c>
      <c r="I140" s="86">
        <v>2.3E-3</v>
      </c>
      <c r="J140" s="86">
        <v>-2.9999999999999997E-4</v>
      </c>
      <c r="M140" s="519">
        <v>6</v>
      </c>
      <c r="N140" s="520" t="s">
        <v>309</v>
      </c>
      <c r="O140" s="521">
        <v>101.23999999999995</v>
      </c>
      <c r="P140" s="46" t="s">
        <v>127</v>
      </c>
    </row>
    <row r="141" spans="3:18" x14ac:dyDescent="0.25">
      <c r="D141" s="304" t="str">
        <f>D13</f>
        <v>01/14/2021</v>
      </c>
      <c r="E141" s="48">
        <f>SUM(Q13,N14:N15)</f>
        <v>-115.95610000000818</v>
      </c>
      <c r="F141" s="48">
        <f>COUNT(Q13,N14:N15)</f>
        <v>3</v>
      </c>
      <c r="G141" s="48" t="s">
        <v>184</v>
      </c>
      <c r="H141" s="86">
        <v>-1.1999999999999999E-3</v>
      </c>
      <c r="I141" s="86">
        <v>-3.8E-3</v>
      </c>
      <c r="J141" s="86">
        <v>-2.2000000000000001E-3</v>
      </c>
      <c r="M141" s="519">
        <v>7</v>
      </c>
      <c r="N141" s="523" t="s">
        <v>394</v>
      </c>
      <c r="O141" s="524">
        <v>68.480000000000274</v>
      </c>
      <c r="P141" s="46" t="s">
        <v>127</v>
      </c>
    </row>
    <row r="142" spans="3:18" ht="30" x14ac:dyDescent="0.25">
      <c r="D142" s="304" t="str">
        <f>D16</f>
        <v>01/15/2021</v>
      </c>
      <c r="E142" s="48">
        <f>SUM(Q16:Q18,N19:N21,Q22:Q23,N24)</f>
        <v>-1621.8906743589671</v>
      </c>
      <c r="F142" s="48">
        <f>COUNT(Q16:Q18,N19:N21,Q22:Q23,N24)</f>
        <v>9</v>
      </c>
      <c r="G142" s="337" t="s">
        <v>195</v>
      </c>
      <c r="H142" s="86">
        <v>-8.6999999999999994E-3</v>
      </c>
      <c r="I142" s="86">
        <v>-7.1999999999999998E-3</v>
      </c>
      <c r="J142" s="86">
        <v>-5.7000000000000002E-3</v>
      </c>
      <c r="M142" s="519">
        <v>8</v>
      </c>
      <c r="N142" s="520" t="s">
        <v>324</v>
      </c>
      <c r="O142" s="521">
        <v>53.479999999996153</v>
      </c>
      <c r="P142" s="46" t="s">
        <v>127</v>
      </c>
    </row>
    <row r="143" spans="3:18" x14ac:dyDescent="0.25">
      <c r="D143" s="304" t="str">
        <f>D25</f>
        <v>01/18/2021</v>
      </c>
      <c r="E143" s="48">
        <f>SUM(Q25,N26)</f>
        <v>6.7849512820481408</v>
      </c>
      <c r="F143" s="48">
        <f>COUNT(Q25,N26)</f>
        <v>2</v>
      </c>
      <c r="G143" s="48" t="s">
        <v>185</v>
      </c>
      <c r="H143" s="153" t="s">
        <v>191</v>
      </c>
      <c r="I143" s="152" t="s">
        <v>191</v>
      </c>
      <c r="J143" s="152" t="s">
        <v>191</v>
      </c>
      <c r="M143" s="519">
        <v>9</v>
      </c>
      <c r="N143" s="520" t="s">
        <v>310</v>
      </c>
      <c r="O143" s="521">
        <v>35.240000000000293</v>
      </c>
      <c r="P143" s="46" t="s">
        <v>166</v>
      </c>
    </row>
    <row r="144" spans="3:18" x14ac:dyDescent="0.25">
      <c r="D144" s="304" t="str">
        <f>D27</f>
        <v>01/19/2021</v>
      </c>
      <c r="E144" s="48">
        <f>SUM(Q27,N28)</f>
        <v>68.417723076920595</v>
      </c>
      <c r="F144" s="48">
        <f>COUNT(Q27,N28)</f>
        <v>2</v>
      </c>
      <c r="G144" s="48" t="s">
        <v>185</v>
      </c>
      <c r="H144" s="86">
        <v>1.5299999999999999E-2</v>
      </c>
      <c r="I144" s="86">
        <v>8.0999999999999996E-3</v>
      </c>
      <c r="J144" s="86">
        <v>3.8E-3</v>
      </c>
      <c r="M144" s="519">
        <v>10</v>
      </c>
      <c r="N144" s="523" t="s">
        <v>396</v>
      </c>
      <c r="O144" s="524">
        <v>28.240000000002397</v>
      </c>
      <c r="P144" s="46" t="s">
        <v>127</v>
      </c>
    </row>
    <row r="145" spans="4:16" x14ac:dyDescent="0.25">
      <c r="D145" s="304" t="str">
        <f>D29</f>
        <v>01/20/2021</v>
      </c>
      <c r="E145" s="48">
        <f>SUM(N29,Q30,N31:N32)</f>
        <v>184.96000000000606</v>
      </c>
      <c r="F145" s="48">
        <f>COUNT(N29,Q30,N31:N32)</f>
        <v>4</v>
      </c>
      <c r="G145" s="48" t="s">
        <v>185</v>
      </c>
      <c r="H145" s="86">
        <v>1.9699999999999999E-2</v>
      </c>
      <c r="I145" s="86">
        <v>1.3899999999999999E-2</v>
      </c>
      <c r="J145" s="86">
        <v>8.3000000000000001E-3</v>
      </c>
      <c r="M145" s="519">
        <v>11</v>
      </c>
      <c r="N145" s="523" t="s">
        <v>397</v>
      </c>
      <c r="O145" s="524">
        <v>23.239999999998417</v>
      </c>
      <c r="P145" s="46" t="s">
        <v>127</v>
      </c>
    </row>
    <row r="146" spans="4:16" x14ac:dyDescent="0.25">
      <c r="D146" s="304" t="str">
        <f>D33</f>
        <v>01/21/2021</v>
      </c>
      <c r="E146" s="48">
        <f>SUM(N33:N34)</f>
        <v>162.48000000000502</v>
      </c>
      <c r="F146" s="48">
        <f>COUNT(N33:N34)</f>
        <v>2</v>
      </c>
      <c r="G146" s="48" t="s">
        <v>186</v>
      </c>
      <c r="H146" s="86">
        <v>5.4999999999999997E-3</v>
      </c>
      <c r="I146" s="86">
        <v>2.9999999999999997E-4</v>
      </c>
      <c r="J146" s="86">
        <v>-4.0000000000000002E-4</v>
      </c>
      <c r="M146" s="519">
        <v>12</v>
      </c>
      <c r="N146" s="523" t="s">
        <v>395</v>
      </c>
      <c r="O146" s="524">
        <v>-29.519999999999413</v>
      </c>
      <c r="P146" s="46" t="s">
        <v>127</v>
      </c>
    </row>
    <row r="147" spans="4:16" ht="31.15" customHeight="1" x14ac:dyDescent="0.25">
      <c r="D147" s="304" t="str">
        <f>D35</f>
        <v>01/22/2021</v>
      </c>
      <c r="E147" s="48">
        <f>SUM(N35:N37,Q38)</f>
        <v>177.34000000000202</v>
      </c>
      <c r="F147" s="48">
        <f>COUNT(N35:N37,Q38)</f>
        <v>4</v>
      </c>
      <c r="G147" s="337" t="s">
        <v>187</v>
      </c>
      <c r="H147" s="86">
        <v>8.9999999999999998E-4</v>
      </c>
      <c r="I147" s="86">
        <v>-3.0000000000000001E-3</v>
      </c>
      <c r="J147" s="86">
        <v>-5.7000000000000002E-3</v>
      </c>
      <c r="M147" s="519">
        <v>13</v>
      </c>
      <c r="N147" s="520" t="s">
        <v>86</v>
      </c>
      <c r="O147" s="521">
        <v>-215.56410000001301</v>
      </c>
      <c r="P147" s="46" t="s">
        <v>166</v>
      </c>
    </row>
    <row r="148" spans="4:16" ht="34.9" customHeight="1" x14ac:dyDescent="0.25">
      <c r="D148" s="304" t="str">
        <f>D39</f>
        <v>01/25/2021</v>
      </c>
      <c r="E148" s="48">
        <f>SUM(Q39,N40,Q41,N42:N43)</f>
        <v>-534.43999999999073</v>
      </c>
      <c r="F148" s="48">
        <f>COUNT(Q39,N40,Q41,N42:N43)</f>
        <v>5</v>
      </c>
      <c r="G148" s="337" t="s">
        <v>194</v>
      </c>
      <c r="H148" s="86">
        <v>6.8999999999999999E-3</v>
      </c>
      <c r="I148" s="86">
        <v>3.5999999999999999E-3</v>
      </c>
      <c r="J148" s="86">
        <v>-1.1999999999999999E-3</v>
      </c>
      <c r="M148" s="519">
        <v>14</v>
      </c>
      <c r="N148" s="520" t="s">
        <v>94</v>
      </c>
      <c r="O148" s="521">
        <v>-447.77999999997087</v>
      </c>
      <c r="P148" s="46" t="s">
        <v>127</v>
      </c>
    </row>
    <row r="149" spans="4:16" x14ac:dyDescent="0.25">
      <c r="D149" s="330" t="str">
        <f>D44</f>
        <v>01/26/2021</v>
      </c>
      <c r="E149" s="331">
        <f>N44</f>
        <v>161.24000000000009</v>
      </c>
      <c r="F149" s="331">
        <v>1</v>
      </c>
      <c r="G149" s="331" t="s">
        <v>188</v>
      </c>
      <c r="H149" s="86">
        <v>-6.9999999999999999E-4</v>
      </c>
      <c r="I149" s="86">
        <v>-1.5E-3</v>
      </c>
      <c r="J149" s="86">
        <v>-6.9999999999999999E-4</v>
      </c>
      <c r="M149" s="519">
        <v>15</v>
      </c>
      <c r="N149" s="520" t="s">
        <v>117</v>
      </c>
      <c r="O149" s="521">
        <v>-1154.1399999999976</v>
      </c>
      <c r="P149" s="46" t="s">
        <v>127</v>
      </c>
    </row>
    <row r="150" spans="4:16" x14ac:dyDescent="0.25">
      <c r="D150" s="330" t="str">
        <f>D45</f>
        <v>01/27/2021</v>
      </c>
      <c r="E150" s="331">
        <f>N45+N46</f>
        <v>668.71999999999832</v>
      </c>
      <c r="F150" s="331">
        <v>2</v>
      </c>
      <c r="G150" s="341" t="s">
        <v>205</v>
      </c>
      <c r="H150" s="86">
        <v>-2.5700000000000001E-2</v>
      </c>
      <c r="I150" s="86">
        <v>-2.6100000000000002E-2</v>
      </c>
      <c r="J150" s="86">
        <v>-2.0500000000000001E-2</v>
      </c>
      <c r="M150" s="334" t="s">
        <v>5</v>
      </c>
      <c r="N150" s="335"/>
      <c r="O150" s="336">
        <f>SUM(O135:O149)</f>
        <v>1542.8959000000104</v>
      </c>
      <c r="P150" s="46"/>
    </row>
    <row r="151" spans="4:16" x14ac:dyDescent="0.25">
      <c r="D151" s="360" t="s">
        <v>295</v>
      </c>
      <c r="E151" s="331">
        <f>N47</f>
        <v>111.23999999999938</v>
      </c>
      <c r="F151" s="331">
        <v>1</v>
      </c>
      <c r="G151" s="341" t="s">
        <v>186</v>
      </c>
      <c r="H151" s="86">
        <v>1.23E-2</v>
      </c>
      <c r="I151" s="86">
        <v>7.0000000000000001E-3</v>
      </c>
      <c r="J151" s="86">
        <v>3.2000000000000002E-3</v>
      </c>
    </row>
    <row r="152" spans="4:16" x14ac:dyDescent="0.25">
      <c r="D152" s="360" t="s">
        <v>298</v>
      </c>
      <c r="E152" s="331">
        <f>N48</f>
        <v>41.2399999999991</v>
      </c>
      <c r="F152" s="331">
        <v>1</v>
      </c>
      <c r="G152" s="341" t="s">
        <v>296</v>
      </c>
      <c r="H152" s="86">
        <v>-1.12E-2</v>
      </c>
      <c r="I152" s="86">
        <v>-7.6E-3</v>
      </c>
      <c r="J152" s="86">
        <v>-9.4000000000000004E-3</v>
      </c>
    </row>
    <row r="153" spans="4:16" x14ac:dyDescent="0.25">
      <c r="D153" s="360" t="s">
        <v>299</v>
      </c>
      <c r="E153" s="331">
        <f>N49</f>
        <v>101.23999999999995</v>
      </c>
      <c r="F153" s="331">
        <v>1</v>
      </c>
      <c r="G153" s="341" t="s">
        <v>300</v>
      </c>
      <c r="H153" s="86">
        <v>-2.01E-2</v>
      </c>
      <c r="I153" s="86">
        <v>-5.4999999999999997E-3</v>
      </c>
      <c r="J153" s="86">
        <v>-1E-4</v>
      </c>
      <c r="M153" s="46"/>
      <c r="N153" s="515" t="s">
        <v>208</v>
      </c>
      <c r="O153" s="514" t="s">
        <v>207</v>
      </c>
    </row>
    <row r="154" spans="4:16" x14ac:dyDescent="0.25">
      <c r="D154" s="360" t="s">
        <v>302</v>
      </c>
      <c r="E154" s="331">
        <f>SUM(N50:N53)</f>
        <v>91.960000000001685</v>
      </c>
      <c r="F154" s="331">
        <v>4</v>
      </c>
      <c r="G154" s="341" t="s">
        <v>303</v>
      </c>
      <c r="H154" s="86">
        <v>1.1999999999999999E-3</v>
      </c>
      <c r="I154" s="86">
        <v>5.1999999999999998E-3</v>
      </c>
      <c r="J154" s="86">
        <v>6.1999999999999998E-3</v>
      </c>
      <c r="M154" s="353" t="s">
        <v>206</v>
      </c>
      <c r="N154" s="354">
        <v>-0.02</v>
      </c>
      <c r="O154" s="355">
        <f>'SG Portfolio'!D4*'Day Trade'!N154</f>
        <v>-462.2</v>
      </c>
    </row>
    <row r="155" spans="4:16" x14ac:dyDescent="0.25">
      <c r="D155" s="360" t="s">
        <v>305</v>
      </c>
      <c r="E155" s="331">
        <f>SUM(N54:N56)</f>
        <v>1080.0799999999981</v>
      </c>
      <c r="F155" s="331">
        <v>3</v>
      </c>
      <c r="G155" s="331" t="s">
        <v>306</v>
      </c>
      <c r="H155" s="86">
        <v>1.24E-2</v>
      </c>
      <c r="I155" s="86">
        <v>1.66E-2</v>
      </c>
      <c r="J155" s="86">
        <v>1.3899999999999999E-2</v>
      </c>
    </row>
    <row r="156" spans="4:16" x14ac:dyDescent="0.25">
      <c r="D156" s="360" t="s">
        <v>307</v>
      </c>
      <c r="E156" s="331">
        <f>N57</f>
        <v>6.239999999999668</v>
      </c>
      <c r="F156" s="331">
        <v>1</v>
      </c>
      <c r="G156" s="331" t="s">
        <v>308</v>
      </c>
      <c r="H156" s="86">
        <v>-6.0000000000000001E-3</v>
      </c>
      <c r="I156" s="86">
        <v>-8.9999999999999998E-4</v>
      </c>
      <c r="J156" s="86">
        <v>3.0000000000000001E-3</v>
      </c>
    </row>
    <row r="157" spans="4:16" x14ac:dyDescent="0.25">
      <c r="D157" s="361" t="s">
        <v>311</v>
      </c>
      <c r="E157" s="331">
        <f>SUM(N58:N59)</f>
        <v>26.479999999996551</v>
      </c>
      <c r="F157" s="331">
        <v>2</v>
      </c>
      <c r="G157" s="331" t="s">
        <v>323</v>
      </c>
      <c r="H157" s="86">
        <v>-1.1000000000000001E-3</v>
      </c>
      <c r="I157" s="86">
        <v>-3.2000000000000002E-3</v>
      </c>
      <c r="J157" s="86">
        <v>-3.0999999999999999E-3</v>
      </c>
      <c r="M157" s="127" t="s">
        <v>130</v>
      </c>
      <c r="N157" s="127" t="s">
        <v>131</v>
      </c>
      <c r="O157" s="127" t="s">
        <v>132</v>
      </c>
    </row>
    <row r="158" spans="4:16" x14ac:dyDescent="0.25">
      <c r="D158" s="361" t="s">
        <v>312</v>
      </c>
      <c r="E158" s="331">
        <f>N60</f>
        <v>45.24000000000008</v>
      </c>
      <c r="F158" s="331">
        <v>1</v>
      </c>
      <c r="G158" s="331" t="s">
        <v>323</v>
      </c>
      <c r="H158" s="86">
        <v>1.54E-2</v>
      </c>
      <c r="I158" s="86">
        <v>3.5999999999999999E-3</v>
      </c>
      <c r="J158" s="86">
        <v>-2.5999999999999999E-3</v>
      </c>
      <c r="M158" s="63">
        <v>0.28570000000000001</v>
      </c>
      <c r="N158" s="63">
        <v>0.23080000000000001</v>
      </c>
      <c r="O158" s="63">
        <v>0.16669999999999999</v>
      </c>
    </row>
    <row r="159" spans="4:16" x14ac:dyDescent="0.25">
      <c r="D159" s="360" t="s">
        <v>336</v>
      </c>
      <c r="E159" s="331">
        <f>N61+N62</f>
        <v>123.27999999999975</v>
      </c>
      <c r="F159" s="331">
        <v>2</v>
      </c>
      <c r="G159" s="331" t="s">
        <v>337</v>
      </c>
      <c r="H159" s="86">
        <v>-3.5999999999999999E-3</v>
      </c>
      <c r="I159" s="86">
        <v>-2.0000000000000001E-4</v>
      </c>
      <c r="J159" s="86">
        <v>-1.6000000000000001E-3</v>
      </c>
      <c r="M159" s="290"/>
      <c r="N159" s="290"/>
      <c r="O159" s="290"/>
    </row>
    <row r="160" spans="4:16" x14ac:dyDescent="0.25">
      <c r="D160" s="360" t="s">
        <v>338</v>
      </c>
      <c r="E160" s="331">
        <f>Q63</f>
        <v>-25.760000000001071</v>
      </c>
      <c r="F160" s="331">
        <v>1</v>
      </c>
      <c r="G160" s="331" t="s">
        <v>339</v>
      </c>
      <c r="H160" s="484">
        <v>1.0500000000000001E-2</v>
      </c>
      <c r="I160" s="86">
        <v>3.3E-3</v>
      </c>
      <c r="J160" s="86">
        <v>-2E-3</v>
      </c>
    </row>
    <row r="161" spans="4:10" x14ac:dyDescent="0.25">
      <c r="D161" s="361" t="s">
        <v>345</v>
      </c>
      <c r="E161" s="331">
        <f>N64</f>
        <v>27.240000000000464</v>
      </c>
      <c r="F161" s="331">
        <v>1</v>
      </c>
      <c r="G161" s="331" t="s">
        <v>346</v>
      </c>
      <c r="H161" s="86">
        <v>1.1900000000000001E-2</v>
      </c>
      <c r="I161" s="86">
        <v>9.2999999999999992E-3</v>
      </c>
      <c r="J161" s="86">
        <v>9.2999999999999992E-3</v>
      </c>
    </row>
    <row r="162" spans="4:10" x14ac:dyDescent="0.25">
      <c r="D162" s="361" t="s">
        <v>350</v>
      </c>
      <c r="E162" s="331">
        <f>N65+N66</f>
        <v>206.48000000000621</v>
      </c>
      <c r="F162" s="331">
        <v>2</v>
      </c>
      <c r="G162" s="331" t="s">
        <v>351</v>
      </c>
      <c r="H162" s="86">
        <v>8.6999999999999994E-3</v>
      </c>
      <c r="I162" s="86">
        <v>1.8E-3</v>
      </c>
      <c r="J162" s="86">
        <v>-1.8E-3</v>
      </c>
    </row>
    <row r="163" spans="4:10" x14ac:dyDescent="0.25">
      <c r="D163" s="361" t="s">
        <v>354</v>
      </c>
      <c r="E163" s="331">
        <f>Q67</f>
        <v>-56.759999999999877</v>
      </c>
      <c r="F163" s="331">
        <v>1</v>
      </c>
      <c r="G163" s="331" t="s">
        <v>355</v>
      </c>
      <c r="H163" s="86">
        <v>-2.9999999999999997E-4</v>
      </c>
      <c r="I163" s="484">
        <v>-2.0999999999999999E-3</v>
      </c>
      <c r="J163" s="86">
        <v>-2.3999999999999998E-3</v>
      </c>
    </row>
    <row r="164" spans="4:10" x14ac:dyDescent="0.25">
      <c r="D164" s="361" t="s">
        <v>379</v>
      </c>
      <c r="E164" s="331">
        <f>SUM(N68:N72)</f>
        <v>90.200000000001523</v>
      </c>
      <c r="F164" s="331">
        <f>COUNT(N68:N72)</f>
        <v>5</v>
      </c>
      <c r="G164" s="331" t="s">
        <v>323</v>
      </c>
      <c r="H164" s="86">
        <v>-1.06E-2</v>
      </c>
      <c r="I164" s="86">
        <v>-1.5900000000000001E-2</v>
      </c>
      <c r="J164" s="86">
        <v>-2.0899999999999998E-2</v>
      </c>
    </row>
    <row r="165" spans="4:10" x14ac:dyDescent="0.25">
      <c r="D165" s="361" t="s">
        <v>380</v>
      </c>
      <c r="E165" s="331">
        <f>SUM(N73:N76)</f>
        <v>142.95999999999864</v>
      </c>
      <c r="F165" s="331">
        <f>COUNT(N73:N76)</f>
        <v>4</v>
      </c>
      <c r="G165" s="331" t="s">
        <v>323</v>
      </c>
      <c r="H165" s="86">
        <v>1.5699999999999999E-2</v>
      </c>
      <c r="I165" s="86">
        <v>1.43E-2</v>
      </c>
      <c r="J165" s="86">
        <v>1.6199999999999999E-2</v>
      </c>
    </row>
    <row r="166" spans="4:10" x14ac:dyDescent="0.25">
      <c r="D166" s="361" t="s">
        <v>381</v>
      </c>
      <c r="E166" s="331">
        <f>N77</f>
        <v>113.23999999999899</v>
      </c>
      <c r="F166" s="331">
        <v>1</v>
      </c>
      <c r="G166" s="331" t="s">
        <v>323</v>
      </c>
      <c r="H166" s="86">
        <v>9.1999999999999998E-3</v>
      </c>
      <c r="I166" s="86">
        <v>8.2000000000000007E-3</v>
      </c>
      <c r="J166" s="86">
        <v>8.3000000000000001E-3</v>
      </c>
    </row>
    <row r="167" spans="4:10" x14ac:dyDescent="0.25">
      <c r="D167" s="361" t="s">
        <v>382</v>
      </c>
      <c r="E167" s="331">
        <f>N78+N79</f>
        <v>93.479999999998853</v>
      </c>
      <c r="F167" s="331">
        <v>2</v>
      </c>
      <c r="G167" s="331" t="s">
        <v>323</v>
      </c>
      <c r="H167" s="86">
        <v>6.6E-3</v>
      </c>
      <c r="I167" s="86">
        <v>2.0999999999999999E-3</v>
      </c>
      <c r="J167" s="86">
        <v>6.9999999999999999E-4</v>
      </c>
    </row>
    <row r="168" spans="4:10" x14ac:dyDescent="0.25">
      <c r="D168" s="361" t="s">
        <v>383</v>
      </c>
      <c r="E168" s="331">
        <f>N80+N81+N82</f>
        <v>105.71999999999832</v>
      </c>
      <c r="F168" s="331">
        <v>3</v>
      </c>
      <c r="G168" s="331" t="s">
        <v>384</v>
      </c>
      <c r="H168" s="86">
        <v>1.04E-2</v>
      </c>
      <c r="I168" s="86">
        <v>1.03E-2</v>
      </c>
      <c r="J168" s="86">
        <v>6.7999999999999996E-3</v>
      </c>
    </row>
    <row r="169" spans="4:10" x14ac:dyDescent="0.25">
      <c r="D169" s="361" t="s">
        <v>385</v>
      </c>
      <c r="E169" s="331">
        <f>N83+N84+N85</f>
        <v>204.72000000000179</v>
      </c>
      <c r="F169" s="331">
        <v>3</v>
      </c>
      <c r="G169" s="331" t="s">
        <v>386</v>
      </c>
      <c r="H169" s="86">
        <v>2.9999999999999997E-4</v>
      </c>
      <c r="I169" s="86">
        <v>2.3999999999999998E-3</v>
      </c>
      <c r="J169" s="86">
        <v>2.3999999999999998E-3</v>
      </c>
    </row>
    <row r="170" spans="4:10" x14ac:dyDescent="0.25">
      <c r="D170" s="361" t="s">
        <v>387</v>
      </c>
      <c r="E170" s="331">
        <f>N86+N87</f>
        <v>79.860000000002174</v>
      </c>
      <c r="F170" s="331">
        <v>2</v>
      </c>
      <c r="G170" s="331" t="s">
        <v>323</v>
      </c>
      <c r="H170" s="86">
        <v>7.0000000000000001E-3</v>
      </c>
      <c r="I170" s="86">
        <v>-2.0000000000000001E-4</v>
      </c>
      <c r="J170" s="86">
        <v>-3.5999999999999999E-3</v>
      </c>
    </row>
    <row r="171" spans="4:10" x14ac:dyDescent="0.25">
      <c r="D171" s="361" t="s">
        <v>389</v>
      </c>
      <c r="E171" s="331">
        <f>N88</f>
        <v>23.239999999999839</v>
      </c>
      <c r="F171" s="331">
        <v>1</v>
      </c>
      <c r="G171" s="331" t="s">
        <v>323</v>
      </c>
      <c r="H171" s="86">
        <v>1.1000000000000001E-3</v>
      </c>
      <c r="I171" s="86">
        <v>4.1999999999999997E-3</v>
      </c>
      <c r="J171" s="86">
        <v>4.4000000000000003E-3</v>
      </c>
    </row>
    <row r="172" spans="4:10" x14ac:dyDescent="0.25">
      <c r="D172" s="361" t="s">
        <v>390</v>
      </c>
      <c r="E172" s="331">
        <f>SUM(N89:N91)</f>
        <v>59.719999999999374</v>
      </c>
      <c r="F172" s="331">
        <v>3</v>
      </c>
      <c r="G172" s="331" t="s">
        <v>323</v>
      </c>
      <c r="H172" s="86">
        <v>-7.1000000000000004E-3</v>
      </c>
      <c r="I172" s="86">
        <v>-5.4000000000000003E-3</v>
      </c>
      <c r="J172" s="86">
        <v>-4.1999999999999997E-3</v>
      </c>
    </row>
    <row r="173" spans="4:10" x14ac:dyDescent="0.25">
      <c r="D173" s="361" t="s">
        <v>399</v>
      </c>
      <c r="E173" s="331">
        <f>N92</f>
        <v>33.239999999996144</v>
      </c>
      <c r="F173" s="331">
        <v>1</v>
      </c>
      <c r="G173" s="331" t="s">
        <v>323</v>
      </c>
      <c r="H173" s="86">
        <v>5.9999999999999995E-4</v>
      </c>
      <c r="I173" s="86">
        <v>-1.8E-3</v>
      </c>
      <c r="J173" s="86">
        <v>-2.8E-3</v>
      </c>
    </row>
    <row r="174" spans="4:10" x14ac:dyDescent="0.25">
      <c r="D174" s="361" t="s">
        <v>401</v>
      </c>
      <c r="E174" s="331">
        <f>N93+N94</f>
        <v>86.479999999999535</v>
      </c>
      <c r="F174" s="331">
        <v>2</v>
      </c>
      <c r="G174" s="331" t="s">
        <v>323</v>
      </c>
      <c r="H174" s="86">
        <v>5.4999999999999997E-3</v>
      </c>
      <c r="I174" s="86">
        <v>8.2000000000000007E-3</v>
      </c>
      <c r="J174" s="86">
        <v>8.0000000000000002E-3</v>
      </c>
    </row>
    <row r="175" spans="4:10" x14ac:dyDescent="0.25">
      <c r="D175" s="361" t="s">
        <v>402</v>
      </c>
      <c r="E175" s="331">
        <f>N95+N96</f>
        <v>86.479999999998114</v>
      </c>
      <c r="F175" s="331">
        <v>2</v>
      </c>
      <c r="G175" s="331" t="s">
        <v>323</v>
      </c>
      <c r="H175" s="86">
        <v>1.2999999999999999E-3</v>
      </c>
      <c r="I175" s="86">
        <v>-4.5999999999999999E-3</v>
      </c>
      <c r="J175" s="86">
        <v>-9.1999999999999998E-3</v>
      </c>
    </row>
    <row r="176" spans="4:10" x14ac:dyDescent="0.25">
      <c r="D176" s="361" t="s">
        <v>404</v>
      </c>
      <c r="E176" s="331">
        <f>N97</f>
        <v>23.239999999999839</v>
      </c>
      <c r="F176" s="331">
        <v>1</v>
      </c>
      <c r="G176" s="331" t="s">
        <v>323</v>
      </c>
      <c r="H176" s="86">
        <v>4.0000000000000002E-4</v>
      </c>
      <c r="I176" s="86">
        <v>1.6000000000000001E-3</v>
      </c>
      <c r="J176" s="86">
        <v>4.0000000000000002E-4</v>
      </c>
    </row>
    <row r="177" spans="4:10" x14ac:dyDescent="0.25">
      <c r="D177" s="361" t="s">
        <v>409</v>
      </c>
      <c r="E177" s="331">
        <f>N98</f>
        <v>33.240000000000691</v>
      </c>
      <c r="F177" s="331">
        <v>1</v>
      </c>
      <c r="G177" s="331" t="s">
        <v>323</v>
      </c>
      <c r="H177" s="86">
        <v>-2E-3</v>
      </c>
      <c r="I177" s="86">
        <v>2.5999999999999999E-3</v>
      </c>
      <c r="J177" s="86">
        <v>3.0999999999999999E-3</v>
      </c>
    </row>
    <row r="178" spans="4:10" x14ac:dyDescent="0.25">
      <c r="D178" s="361" t="s">
        <v>408</v>
      </c>
      <c r="E178" s="331">
        <f>N99</f>
        <v>33.239999999999782</v>
      </c>
      <c r="F178" s="331">
        <v>1</v>
      </c>
      <c r="G178" s="331" t="s">
        <v>323</v>
      </c>
      <c r="H178" s="86">
        <v>-8.8999999999999999E-3</v>
      </c>
      <c r="I178" s="86">
        <v>-1.0699999999999999E-2</v>
      </c>
      <c r="J178" s="86">
        <v>-1.0800000000000001E-2</v>
      </c>
    </row>
    <row r="179" spans="4:10" x14ac:dyDescent="0.25">
      <c r="D179" s="361" t="s">
        <v>410</v>
      </c>
      <c r="E179" s="331">
        <f>N100+Q101+Q102</f>
        <v>-109.27999999999997</v>
      </c>
      <c r="F179" s="331">
        <v>3</v>
      </c>
      <c r="G179" s="331" t="s">
        <v>411</v>
      </c>
      <c r="H179" s="86">
        <v>1.1000000000000001E-3</v>
      </c>
      <c r="I179" s="86">
        <v>1.2999999999999999E-3</v>
      </c>
      <c r="J179" s="86">
        <v>-1.9E-3</v>
      </c>
    </row>
    <row r="180" spans="4:10" x14ac:dyDescent="0.25">
      <c r="D180" s="361" t="s">
        <v>412</v>
      </c>
      <c r="E180" s="331">
        <f>N103</f>
        <v>11.460000000000292</v>
      </c>
      <c r="F180" s="331">
        <v>1</v>
      </c>
      <c r="G180" s="331" t="s">
        <v>413</v>
      </c>
      <c r="H180" s="86">
        <v>1.1900000000000001E-2</v>
      </c>
      <c r="I180" s="86">
        <v>8.0999999999999996E-3</v>
      </c>
      <c r="J180" s="86">
        <v>6.4999999999999997E-3</v>
      </c>
    </row>
    <row r="181" spans="4:10" x14ac:dyDescent="0.25">
      <c r="D181" s="361" t="s">
        <v>417</v>
      </c>
      <c r="E181" s="331">
        <f>N104</f>
        <v>113.23999999999899</v>
      </c>
      <c r="F181" s="331">
        <v>1</v>
      </c>
      <c r="G181" s="331" t="s">
        <v>323</v>
      </c>
      <c r="H181" s="86">
        <v>-8.6999999999999994E-3</v>
      </c>
      <c r="I181" s="86">
        <v>-7.7000000000000002E-3</v>
      </c>
      <c r="J181" s="86">
        <v>-7.7999999999999996E-3</v>
      </c>
    </row>
    <row r="182" spans="4:10" x14ac:dyDescent="0.25">
      <c r="D182" s="361" t="s">
        <v>420</v>
      </c>
      <c r="E182" s="331">
        <f>N105+N106+N107</f>
        <v>76.839999999999975</v>
      </c>
      <c r="F182" s="331">
        <v>3</v>
      </c>
      <c r="G182" s="331" t="s">
        <v>413</v>
      </c>
      <c r="H182" s="86">
        <v>-1.7100000000000001E-2</v>
      </c>
      <c r="I182" s="86">
        <v>-7.1999999999999998E-3</v>
      </c>
      <c r="J182" s="86">
        <v>0</v>
      </c>
    </row>
    <row r="183" spans="4:10" x14ac:dyDescent="0.25">
      <c r="D183" s="361" t="s">
        <v>426</v>
      </c>
      <c r="E183" s="331">
        <f>Q108</f>
        <v>-24.039999999999395</v>
      </c>
      <c r="F183" s="331">
        <v>1</v>
      </c>
      <c r="G183" s="331" t="s">
        <v>413</v>
      </c>
      <c r="H183" s="86">
        <v>1.2E-2</v>
      </c>
      <c r="I183" s="86">
        <v>6.4000000000000003E-3</v>
      </c>
      <c r="J183" s="86">
        <v>6.7999999999999996E-3</v>
      </c>
    </row>
    <row r="184" spans="4:10" x14ac:dyDescent="0.25">
      <c r="D184" s="361" t="s">
        <v>429</v>
      </c>
      <c r="E184" s="331">
        <f>Q109</f>
        <v>-471.51098717948918</v>
      </c>
      <c r="F184" s="331">
        <v>1</v>
      </c>
      <c r="G184" s="546" t="s">
        <v>430</v>
      </c>
      <c r="H184" s="46"/>
      <c r="I184" s="46"/>
      <c r="J184" s="46"/>
    </row>
    <row r="185" spans="4:10" x14ac:dyDescent="0.25">
      <c r="D185" s="361" t="s">
        <v>441</v>
      </c>
      <c r="E185" s="331">
        <f>N110</f>
        <v>193.23999999999614</v>
      </c>
      <c r="F185" s="331">
        <v>1</v>
      </c>
      <c r="G185" s="331" t="s">
        <v>323</v>
      </c>
      <c r="H185" s="86">
        <v>-2.5700000000000001E-2</v>
      </c>
      <c r="I185" s="86">
        <v>-1.84E-2</v>
      </c>
      <c r="J185" s="86">
        <v>-1.5100000000000001E-2</v>
      </c>
    </row>
    <row r="186" spans="4:10" x14ac:dyDescent="0.25">
      <c r="D186" s="361" t="s">
        <v>439</v>
      </c>
      <c r="E186" s="331">
        <f>Q111+N112+N113+N114+N115</f>
        <v>99.220000000003097</v>
      </c>
      <c r="F186" s="331">
        <v>5</v>
      </c>
      <c r="G186" s="331" t="s">
        <v>442</v>
      </c>
      <c r="H186" s="86">
        <v>-1.0699999999999999E-2</v>
      </c>
      <c r="I186" s="86">
        <v>-9.7000000000000003E-3</v>
      </c>
      <c r="J186" s="86">
        <v>-9.5999999999999992E-3</v>
      </c>
    </row>
    <row r="187" spans="4:10" x14ac:dyDescent="0.25">
      <c r="D187" s="361" t="s">
        <v>444</v>
      </c>
      <c r="E187" s="331">
        <f>Q116+N117+Q118+Q119</f>
        <v>-1146.2017391304216</v>
      </c>
      <c r="F187" s="331">
        <v>4</v>
      </c>
      <c r="G187" s="546" t="s">
        <v>445</v>
      </c>
      <c r="H187" s="86">
        <v>-1.2999999999999999E-2</v>
      </c>
      <c r="I187" s="86">
        <v>-1.0999999999999999E-2</v>
      </c>
      <c r="J187" s="86">
        <v>-8.8999999999999999E-3</v>
      </c>
    </row>
    <row r="188" spans="4:10" x14ac:dyDescent="0.25">
      <c r="D188" s="398"/>
      <c r="E188" s="331"/>
      <c r="F188" s="331"/>
      <c r="G188" s="331"/>
      <c r="H188" s="86"/>
      <c r="I188" s="86"/>
      <c r="J188" s="86"/>
    </row>
    <row r="189" spans="4:10" x14ac:dyDescent="0.25">
      <c r="D189" s="398"/>
      <c r="E189" s="331"/>
      <c r="F189" s="331"/>
      <c r="G189" s="331"/>
      <c r="H189" s="46"/>
      <c r="I189" s="46"/>
      <c r="J189" s="46"/>
    </row>
    <row r="190" spans="4:10" x14ac:dyDescent="0.25">
      <c r="D190" s="330"/>
      <c r="E190" s="331"/>
      <c r="F190" s="331"/>
      <c r="G190" s="331"/>
      <c r="H190" s="46"/>
      <c r="I190" s="46"/>
      <c r="J190" s="46"/>
    </row>
    <row r="191" spans="4:10" x14ac:dyDescent="0.25">
      <c r="D191" s="96"/>
      <c r="E191" s="333"/>
      <c r="F191" s="333"/>
      <c r="G191" s="333"/>
      <c r="H191" s="98"/>
      <c r="I191" s="98"/>
      <c r="J191" s="199"/>
    </row>
    <row r="192" spans="4:10" x14ac:dyDescent="0.25">
      <c r="D192" s="51" t="s">
        <v>5</v>
      </c>
      <c r="E192" s="332">
        <f>SUM(E139:E191)</f>
        <v>581.78317369009255</v>
      </c>
      <c r="F192" s="332">
        <f>SUM(F139:F191)</f>
        <v>116</v>
      </c>
      <c r="G192" s="332"/>
      <c r="H192" s="46"/>
      <c r="I192" s="46"/>
      <c r="J192" s="46"/>
    </row>
    <row r="193" spans="4:10" x14ac:dyDescent="0.25">
      <c r="D193" s="46" t="s">
        <v>182</v>
      </c>
      <c r="E193" s="48">
        <f>AVERAGE(E139:E186)</f>
        <v>35.99968568376071</v>
      </c>
      <c r="F193" s="48">
        <f>AVERAGE(F139:F186)</f>
        <v>2.3333333333333335</v>
      </c>
      <c r="G193" s="152"/>
      <c r="H193" s="46"/>
      <c r="I193" s="46"/>
      <c r="J193" s="46"/>
    </row>
  </sheetData>
  <phoneticPr fontId="5" type="noConversion"/>
  <pageMargins left="0.7" right="0.7" top="0.75" bottom="0.75" header="0.3" footer="0.3"/>
  <pageSetup paperSize="9" orientation="portrait" verticalDpi="3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ECAD5-A14E-4710-8819-30720E410D65}">
  <dimension ref="C2:P57"/>
  <sheetViews>
    <sheetView showGridLines="0" workbookViewId="0">
      <selection activeCell="G13" sqref="G13"/>
    </sheetView>
  </sheetViews>
  <sheetFormatPr defaultColWidth="9.140625" defaultRowHeight="15" x14ac:dyDescent="0.25"/>
  <cols>
    <col min="1" max="2" width="9.140625" style="39"/>
    <col min="3" max="3" width="19.5703125" style="39" bestFit="1" customWidth="1"/>
    <col min="4" max="4" width="18.42578125" style="39" bestFit="1" customWidth="1"/>
    <col min="5" max="5" width="12.28515625" style="39" bestFit="1" customWidth="1"/>
    <col min="6" max="6" width="14.42578125" style="39" bestFit="1" customWidth="1"/>
    <col min="7" max="7" width="10" style="39" bestFit="1" customWidth="1"/>
    <col min="8" max="8" width="10.5703125" style="39" bestFit="1" customWidth="1"/>
    <col min="9" max="9" width="5.42578125" style="39" bestFit="1" customWidth="1"/>
    <col min="10" max="10" width="20" style="39" bestFit="1" customWidth="1"/>
    <col min="11" max="11" width="20.42578125" style="39" bestFit="1" customWidth="1"/>
    <col min="12" max="13" width="8" style="39" bestFit="1" customWidth="1"/>
    <col min="14" max="15" width="3.5703125" style="39" bestFit="1" customWidth="1"/>
    <col min="16" max="16" width="10.5703125" style="39" bestFit="1" customWidth="1"/>
    <col min="17" max="17" width="3.5703125" style="39" bestFit="1" customWidth="1"/>
    <col min="18" max="16384" width="9.140625" style="39"/>
  </cols>
  <sheetData>
    <row r="2" spans="3:16" x14ac:dyDescent="0.25">
      <c r="C2" s="39" t="s">
        <v>153</v>
      </c>
      <c r="D2" s="39">
        <v>0.75</v>
      </c>
    </row>
    <row r="4" spans="3:16" x14ac:dyDescent="0.25">
      <c r="C4" s="39" t="s">
        <v>29</v>
      </c>
      <c r="D4" s="289">
        <f>'SG Portfolio'!D11</f>
        <v>-33411.634383730474</v>
      </c>
      <c r="E4" s="39" t="s">
        <v>13</v>
      </c>
      <c r="I4" s="343">
        <v>7.0000000000000007E-2</v>
      </c>
      <c r="J4" s="39" t="s">
        <v>211</v>
      </c>
    </row>
    <row r="5" spans="3:16" x14ac:dyDescent="0.25">
      <c r="C5" s="39" t="s">
        <v>134</v>
      </c>
      <c r="D5" s="289">
        <f>D4+D10</f>
        <v>25005.557667551584</v>
      </c>
      <c r="E5" s="39" t="s">
        <v>13</v>
      </c>
      <c r="I5" s="422">
        <f>IF(D4&lt;0,-D4*I4/360,0)</f>
        <v>6.4967066857253704</v>
      </c>
      <c r="J5" s="39" t="s">
        <v>212</v>
      </c>
    </row>
    <row r="6" spans="3:16" x14ac:dyDescent="0.25">
      <c r="C6" s="39" t="s">
        <v>209</v>
      </c>
      <c r="D6" s="289">
        <f>(D11*F25+D12*F26+D13*F27)-D5</f>
        <v>-7864.1984421156849</v>
      </c>
      <c r="E6" s="39" t="s">
        <v>13</v>
      </c>
    </row>
    <row r="7" spans="3:16" x14ac:dyDescent="0.25">
      <c r="C7" s="39" t="s">
        <v>210</v>
      </c>
      <c r="D7" s="289">
        <f>(D11*G25+D12*G26+D13*G27)-D5</f>
        <v>-11302.661752602864</v>
      </c>
      <c r="E7" s="39" t="s">
        <v>13</v>
      </c>
    </row>
    <row r="8" spans="3:16" x14ac:dyDescent="0.25">
      <c r="C8" s="281"/>
      <c r="D8" s="282"/>
      <c r="P8" s="280"/>
    </row>
    <row r="9" spans="3:16" x14ac:dyDescent="0.25">
      <c r="C9" s="578" t="s">
        <v>155</v>
      </c>
      <c r="D9" s="300" t="s">
        <v>143</v>
      </c>
      <c r="E9" s="300" t="s">
        <v>147</v>
      </c>
      <c r="F9" s="300" t="s">
        <v>148</v>
      </c>
      <c r="I9" s="46"/>
      <c r="J9" s="127" t="s">
        <v>125</v>
      </c>
      <c r="K9" s="127" t="s">
        <v>126</v>
      </c>
      <c r="P9" s="280"/>
    </row>
    <row r="10" spans="3:16" x14ac:dyDescent="0.25">
      <c r="C10" s="579"/>
      <c r="D10" s="299">
        <f>SUM(D11:D13)</f>
        <v>58417.192051282058</v>
      </c>
      <c r="E10" s="299">
        <f>SUM(E11:E13)</f>
        <v>20088.375469051287</v>
      </c>
      <c r="F10" s="299">
        <f>D10-E10</f>
        <v>38328.816582230771</v>
      </c>
      <c r="I10" s="46" t="s">
        <v>67</v>
      </c>
      <c r="J10" s="86">
        <v>5.9999999999999995E-4</v>
      </c>
      <c r="K10" s="63">
        <f>0.1%+0.002%+0.0027%+0.005%</f>
        <v>1.0969999999999999E-3</v>
      </c>
    </row>
    <row r="11" spans="3:16" x14ac:dyDescent="0.25">
      <c r="C11" s="297" t="s">
        <v>135</v>
      </c>
      <c r="D11" s="298">
        <f>'SG Portfolio'!E17+'SG Portfolio'!H17</f>
        <v>42558.192051282058</v>
      </c>
      <c r="E11" s="298">
        <f>D11*E25</f>
        <v>12158.875469051285</v>
      </c>
      <c r="F11" s="298">
        <f t="shared" ref="F11:F13" si="0">D11-E11</f>
        <v>30399.316582230771</v>
      </c>
      <c r="I11" s="46" t="s">
        <v>127</v>
      </c>
      <c r="J11" s="46">
        <v>2.88</v>
      </c>
      <c r="K11" s="293">
        <v>2.2099999999999998E-5</v>
      </c>
    </row>
    <row r="12" spans="3:16" x14ac:dyDescent="0.25">
      <c r="C12" s="297" t="s">
        <v>136</v>
      </c>
      <c r="D12" s="298">
        <f>'SG Portfolio'!E18+'SG Portfolio'!H18</f>
        <v>15859.000000000002</v>
      </c>
      <c r="E12" s="298">
        <f>D12*E26</f>
        <v>7929.5000000000009</v>
      </c>
      <c r="F12" s="298">
        <f t="shared" si="0"/>
        <v>7929.5000000000009</v>
      </c>
    </row>
    <row r="13" spans="3:16" x14ac:dyDescent="0.25">
      <c r="C13" s="297" t="s">
        <v>137</v>
      </c>
      <c r="D13" s="298">
        <f>'SG Portfolio'!E19+'SG Portfolio'!H19</f>
        <v>0</v>
      </c>
      <c r="E13" s="298">
        <f>D13*E27</f>
        <v>0</v>
      </c>
      <c r="F13" s="298">
        <f t="shared" si="0"/>
        <v>0</v>
      </c>
    </row>
    <row r="14" spans="3:16" x14ac:dyDescent="0.25">
      <c r="C14" s="287"/>
      <c r="D14" s="288"/>
      <c r="E14" s="288"/>
      <c r="F14" s="288"/>
    </row>
    <row r="15" spans="3:16" x14ac:dyDescent="0.25">
      <c r="C15" s="281"/>
      <c r="D15" s="282"/>
    </row>
    <row r="16" spans="3:16" x14ac:dyDescent="0.25">
      <c r="C16" s="96" t="s">
        <v>141</v>
      </c>
      <c r="D16" s="296">
        <v>150000</v>
      </c>
      <c r="E16" s="98" t="s">
        <v>273</v>
      </c>
      <c r="F16" s="429">
        <f>D16*D2</f>
        <v>112500</v>
      </c>
      <c r="H16" s="290"/>
    </row>
    <row r="17" spans="3:13" x14ac:dyDescent="0.25">
      <c r="C17" s="96" t="s">
        <v>142</v>
      </c>
      <c r="D17" s="296">
        <f>D4+F10</f>
        <v>4917.1821985002971</v>
      </c>
      <c r="E17" s="98" t="s">
        <v>254</v>
      </c>
      <c r="F17" s="396">
        <f>D17/D2</f>
        <v>6556.2429313337298</v>
      </c>
      <c r="G17" s="290"/>
      <c r="H17" s="289"/>
      <c r="I17" s="289"/>
      <c r="J17" s="289"/>
    </row>
    <row r="18" spans="3:13" x14ac:dyDescent="0.25">
      <c r="C18" s="46"/>
      <c r="D18" s="294" t="s">
        <v>150</v>
      </c>
      <c r="E18" s="295" t="s">
        <v>151</v>
      </c>
      <c r="F18" s="152" t="s">
        <v>152</v>
      </c>
      <c r="G18" s="290"/>
      <c r="H18" s="290"/>
    </row>
    <row r="19" spans="3:13" x14ac:dyDescent="0.25">
      <c r="C19" s="46" t="s">
        <v>13</v>
      </c>
      <c r="D19" s="200">
        <f>D20*D2</f>
        <v>17210.137694751043</v>
      </c>
      <c r="E19" s="200">
        <f>D17*L24</f>
        <v>9834.3643970005942</v>
      </c>
      <c r="F19" s="200">
        <f>D17*M24</f>
        <v>4917.1821985002971</v>
      </c>
    </row>
    <row r="20" spans="3:13" x14ac:dyDescent="0.25">
      <c r="C20" s="46" t="s">
        <v>154</v>
      </c>
      <c r="D20" s="200">
        <f>IF(D17*K24&gt;(D4/D2+D16),(D4/D2+D16),D17/D2*K24)</f>
        <v>22946.850259668056</v>
      </c>
      <c r="E20" s="200">
        <f t="shared" ref="E20:F20" si="1">E19/$D$2</f>
        <v>13112.48586266746</v>
      </c>
      <c r="F20" s="200">
        <f t="shared" si="1"/>
        <v>6556.2429313337298</v>
      </c>
    </row>
    <row r="21" spans="3:13" x14ac:dyDescent="0.25">
      <c r="D21" s="289"/>
      <c r="E21" s="289"/>
      <c r="F21" s="289"/>
    </row>
    <row r="22" spans="3:13" x14ac:dyDescent="0.25">
      <c r="D22" s="289"/>
    </row>
    <row r="23" spans="3:13" ht="30" x14ac:dyDescent="0.25">
      <c r="C23" s="577" t="s">
        <v>128</v>
      </c>
      <c r="D23" s="577" t="s">
        <v>129</v>
      </c>
      <c r="E23" s="577" t="s">
        <v>133</v>
      </c>
      <c r="F23" s="577"/>
      <c r="G23" s="577"/>
      <c r="J23" s="283" t="s">
        <v>139</v>
      </c>
      <c r="K23" s="127" t="s">
        <v>135</v>
      </c>
      <c r="L23" s="127" t="s">
        <v>136</v>
      </c>
      <c r="M23" s="127" t="s">
        <v>137</v>
      </c>
    </row>
    <row r="24" spans="3:13" s="284" customFormat="1" x14ac:dyDescent="0.25">
      <c r="C24" s="577"/>
      <c r="D24" s="577"/>
      <c r="E24" s="127" t="s">
        <v>130</v>
      </c>
      <c r="F24" s="127" t="s">
        <v>131</v>
      </c>
      <c r="G24" s="127" t="s">
        <v>132</v>
      </c>
      <c r="J24" s="285" t="s">
        <v>138</v>
      </c>
      <c r="K24" s="286">
        <v>3.5</v>
      </c>
      <c r="L24" s="286">
        <v>2</v>
      </c>
      <c r="M24" s="286">
        <v>1</v>
      </c>
    </row>
    <row r="25" spans="3:13" x14ac:dyDescent="0.25">
      <c r="C25" s="46" t="s">
        <v>37</v>
      </c>
      <c r="D25" s="50">
        <v>0.7</v>
      </c>
      <c r="E25" s="63">
        <v>0.28570000000000001</v>
      </c>
      <c r="F25" s="63">
        <v>0.23080000000000001</v>
      </c>
      <c r="G25" s="63">
        <v>0.16669999999999999</v>
      </c>
      <c r="J25" s="127" t="s">
        <v>135</v>
      </c>
      <c r="K25" s="46">
        <v>2.5</v>
      </c>
      <c r="L25" s="46">
        <v>1.4279999999999999</v>
      </c>
      <c r="M25" s="46">
        <v>0.71399999999999997</v>
      </c>
    </row>
    <row r="26" spans="3:13" x14ac:dyDescent="0.25">
      <c r="C26" s="46" t="s">
        <v>38</v>
      </c>
      <c r="D26" s="50">
        <v>0.5</v>
      </c>
      <c r="E26" s="63">
        <v>0.5</v>
      </c>
      <c r="F26" s="63">
        <v>0.46150000000000002</v>
      </c>
      <c r="G26" s="63">
        <v>0.41670000000000001</v>
      </c>
      <c r="J26" s="127" t="s">
        <v>136</v>
      </c>
      <c r="K26" s="46">
        <v>1.75</v>
      </c>
      <c r="L26" s="46">
        <v>1</v>
      </c>
      <c r="M26" s="46">
        <v>0.5</v>
      </c>
    </row>
    <row r="27" spans="3:13" x14ac:dyDescent="0.25">
      <c r="C27" s="46" t="s">
        <v>39</v>
      </c>
      <c r="D27" s="50">
        <v>0</v>
      </c>
      <c r="E27" s="50">
        <v>1</v>
      </c>
      <c r="F27" s="50">
        <v>1</v>
      </c>
      <c r="G27" s="50">
        <v>1</v>
      </c>
      <c r="J27" s="127" t="s">
        <v>137</v>
      </c>
      <c r="K27" s="46">
        <v>0</v>
      </c>
      <c r="L27" s="46">
        <v>0</v>
      </c>
      <c r="M27" s="46">
        <v>0</v>
      </c>
    </row>
    <row r="28" spans="3:13" x14ac:dyDescent="0.25">
      <c r="C28" s="54"/>
      <c r="D28" s="291"/>
      <c r="E28" s="291"/>
      <c r="F28" s="291"/>
      <c r="G28" s="291"/>
      <c r="J28" s="292"/>
      <c r="K28" s="54"/>
      <c r="L28" s="54"/>
      <c r="M28" s="54"/>
    </row>
    <row r="29" spans="3:13" x14ac:dyDescent="0.25">
      <c r="C29" s="54"/>
      <c r="D29" s="291"/>
      <c r="E29" s="291"/>
      <c r="F29" s="291"/>
      <c r="G29" s="291"/>
      <c r="J29" s="292"/>
      <c r="K29" s="54"/>
      <c r="L29" s="54"/>
      <c r="M29" s="54"/>
    </row>
    <row r="30" spans="3:13" x14ac:dyDescent="0.25">
      <c r="C30" s="292" t="s">
        <v>173</v>
      </c>
      <c r="D30" s="291"/>
      <c r="E30" s="291"/>
      <c r="F30" s="291"/>
      <c r="G30" s="291"/>
    </row>
    <row r="31" spans="3:13" x14ac:dyDescent="0.25">
      <c r="F31" s="294" t="s">
        <v>150</v>
      </c>
      <c r="G31" s="295" t="s">
        <v>151</v>
      </c>
      <c r="H31" s="152" t="s">
        <v>152</v>
      </c>
    </row>
    <row r="32" spans="3:13" x14ac:dyDescent="0.25">
      <c r="C32" s="309" t="s">
        <v>172</v>
      </c>
      <c r="D32" s="309" t="s">
        <v>171</v>
      </c>
      <c r="E32" s="310">
        <f>(E34*E33-E35)/E33</f>
        <v>0.3037037037037037</v>
      </c>
      <c r="F32" s="200">
        <f>$E$32*D19</f>
        <v>5226.7825591466135</v>
      </c>
      <c r="G32" s="200">
        <f t="shared" ref="G32:H32" si="2">$E$32*E19</f>
        <v>2986.7328909409212</v>
      </c>
      <c r="H32" s="200">
        <f t="shared" si="2"/>
        <v>1493.3664454704606</v>
      </c>
    </row>
    <row r="33" spans="3:11" x14ac:dyDescent="0.25">
      <c r="C33" s="309" t="s">
        <v>38</v>
      </c>
      <c r="D33" s="309" t="s">
        <v>170</v>
      </c>
      <c r="E33" s="311">
        <v>1.35</v>
      </c>
      <c r="F33" s="57"/>
      <c r="G33" s="315"/>
      <c r="H33" s="316"/>
    </row>
    <row r="34" spans="3:11" x14ac:dyDescent="0.25">
      <c r="C34" s="309" t="s">
        <v>169</v>
      </c>
      <c r="D34" s="309" t="s">
        <v>204</v>
      </c>
      <c r="E34" s="312">
        <v>0.6</v>
      </c>
      <c r="F34" s="59"/>
      <c r="G34" s="54"/>
      <c r="H34" s="248"/>
    </row>
    <row r="35" spans="3:11" x14ac:dyDescent="0.25">
      <c r="C35" s="313" t="s">
        <v>168</v>
      </c>
      <c r="D35" s="313" t="s">
        <v>167</v>
      </c>
      <c r="E35" s="314">
        <f>1-E34</f>
        <v>0.4</v>
      </c>
      <c r="F35" s="61"/>
      <c r="G35" s="192"/>
      <c r="H35" s="145"/>
    </row>
    <row r="36" spans="3:11" x14ac:dyDescent="0.25">
      <c r="C36" s="46" t="s">
        <v>176</v>
      </c>
      <c r="D36" s="46" t="s">
        <v>174</v>
      </c>
      <c r="E36" s="200">
        <v>100</v>
      </c>
      <c r="F36" s="63">
        <f>$E$36/F32</f>
        <v>1.913222883645789E-2</v>
      </c>
      <c r="G36" s="63">
        <f t="shared" ref="G36:H36" si="3">$E$36/G32</f>
        <v>3.3481400463801318E-2</v>
      </c>
      <c r="H36" s="63">
        <f t="shared" si="3"/>
        <v>6.6962800927602636E-2</v>
      </c>
    </row>
    <row r="37" spans="3:11" x14ac:dyDescent="0.25">
      <c r="C37" s="46" t="s">
        <v>177</v>
      </c>
      <c r="D37" s="46" t="s">
        <v>175</v>
      </c>
      <c r="E37" s="197">
        <f>E36/E33</f>
        <v>74.074074074074076</v>
      </c>
      <c r="F37" s="63">
        <f>-$E$37/F32</f>
        <v>-1.4172021360339177E-2</v>
      </c>
      <c r="G37" s="63">
        <f t="shared" ref="G37:H37" si="4">-$E$37/G32</f>
        <v>-2.4801037380593569E-2</v>
      </c>
      <c r="H37" s="63">
        <f t="shared" si="4"/>
        <v>-4.9602074761187137E-2</v>
      </c>
    </row>
    <row r="40" spans="3:11" x14ac:dyDescent="0.25">
      <c r="C40" s="344" t="s">
        <v>199</v>
      </c>
      <c r="D40" s="315"/>
      <c r="E40" s="315"/>
      <c r="F40" s="315"/>
      <c r="G40" s="315"/>
      <c r="H40" s="315"/>
      <c r="I40" s="315"/>
      <c r="J40" s="315"/>
      <c r="K40" s="316"/>
    </row>
    <row r="41" spans="3:11" x14ac:dyDescent="0.25">
      <c r="C41" s="57"/>
      <c r="D41" s="315" t="s">
        <v>196</v>
      </c>
      <c r="E41" s="346">
        <v>0.5</v>
      </c>
      <c r="F41" s="315"/>
      <c r="G41" s="315"/>
      <c r="H41" s="315"/>
      <c r="I41" s="315"/>
      <c r="J41" s="315"/>
      <c r="K41" s="316"/>
    </row>
    <row r="42" spans="3:11" x14ac:dyDescent="0.25">
      <c r="C42" s="61"/>
      <c r="D42" s="192" t="s">
        <v>203</v>
      </c>
      <c r="E42" s="347">
        <v>0.1</v>
      </c>
      <c r="F42" s="192"/>
      <c r="G42" s="192"/>
      <c r="H42" s="192"/>
      <c r="I42" s="192"/>
      <c r="J42" s="192"/>
      <c r="K42" s="145"/>
    </row>
    <row r="43" spans="3:11" x14ac:dyDescent="0.25">
      <c r="C43" s="59"/>
      <c r="D43" s="54"/>
      <c r="E43" s="345"/>
      <c r="F43" s="54"/>
      <c r="G43" s="54"/>
      <c r="H43" s="54"/>
      <c r="I43" s="54"/>
      <c r="J43" s="54"/>
      <c r="K43" s="248"/>
    </row>
    <row r="44" spans="3:11" x14ac:dyDescent="0.25">
      <c r="C44" s="342" t="s">
        <v>202</v>
      </c>
      <c r="D44" s="127" t="s">
        <v>201</v>
      </c>
      <c r="E44" s="349">
        <v>-0.03</v>
      </c>
      <c r="F44" s="349">
        <v>-0.02</v>
      </c>
      <c r="G44" s="349">
        <v>-0.01</v>
      </c>
      <c r="H44" s="349">
        <v>0</v>
      </c>
      <c r="I44" s="349">
        <v>0.01</v>
      </c>
      <c r="J44" s="349">
        <v>0.02</v>
      </c>
      <c r="K44" s="349">
        <v>0.03</v>
      </c>
    </row>
    <row r="45" spans="3:11" x14ac:dyDescent="0.25">
      <c r="C45" s="350">
        <v>0.3</v>
      </c>
      <c r="D45" s="151" t="s">
        <v>197</v>
      </c>
      <c r="E45" s="85">
        <v>-1</v>
      </c>
      <c r="F45" s="85">
        <v>-0.75</v>
      </c>
      <c r="G45" s="85">
        <v>0.5</v>
      </c>
      <c r="H45" s="85">
        <v>0.25</v>
      </c>
      <c r="I45" s="85">
        <v>0.5</v>
      </c>
      <c r="J45" s="85">
        <v>0.75</v>
      </c>
      <c r="K45" s="85">
        <v>1</v>
      </c>
    </row>
    <row r="46" spans="3:11" x14ac:dyDescent="0.25">
      <c r="C46" s="159"/>
      <c r="D46" s="51"/>
      <c r="E46" s="50">
        <f t="shared" ref="E46:K46" si="5">$E$42*$C$45*E45</f>
        <v>-0.03</v>
      </c>
      <c r="F46" s="50">
        <f t="shared" si="5"/>
        <v>-2.2499999999999999E-2</v>
      </c>
      <c r="G46" s="50">
        <f t="shared" si="5"/>
        <v>1.4999999999999999E-2</v>
      </c>
      <c r="H46" s="50">
        <f t="shared" si="5"/>
        <v>7.4999999999999997E-3</v>
      </c>
      <c r="I46" s="50">
        <f t="shared" si="5"/>
        <v>1.4999999999999999E-2</v>
      </c>
      <c r="J46" s="50">
        <f t="shared" si="5"/>
        <v>2.2499999999999999E-2</v>
      </c>
      <c r="K46" s="50">
        <f t="shared" si="5"/>
        <v>0.03</v>
      </c>
    </row>
    <row r="47" spans="3:11" x14ac:dyDescent="0.25">
      <c r="C47" s="350">
        <v>0.4</v>
      </c>
      <c r="D47" s="151" t="s">
        <v>198</v>
      </c>
      <c r="E47" s="85">
        <v>1</v>
      </c>
      <c r="F47" s="85">
        <v>0.5</v>
      </c>
      <c r="G47" s="85">
        <v>0.25</v>
      </c>
      <c r="H47" s="46">
        <v>0</v>
      </c>
      <c r="I47" s="85">
        <v>0.25</v>
      </c>
      <c r="J47" s="85">
        <v>1</v>
      </c>
      <c r="K47" s="85">
        <v>0.75</v>
      </c>
    </row>
    <row r="48" spans="3:11" x14ac:dyDescent="0.25">
      <c r="C48" s="351"/>
      <c r="D48" s="51"/>
      <c r="E48" s="50">
        <f t="shared" ref="E48:K48" si="6">$E$42*$C$47*E47</f>
        <v>4.0000000000000008E-2</v>
      </c>
      <c r="F48" s="50">
        <f t="shared" si="6"/>
        <v>2.0000000000000004E-2</v>
      </c>
      <c r="G48" s="50">
        <f t="shared" si="6"/>
        <v>1.0000000000000002E-2</v>
      </c>
      <c r="H48" s="50">
        <f t="shared" si="6"/>
        <v>0</v>
      </c>
      <c r="I48" s="50">
        <f t="shared" si="6"/>
        <v>1.0000000000000002E-2</v>
      </c>
      <c r="J48" s="50">
        <f t="shared" si="6"/>
        <v>4.0000000000000008E-2</v>
      </c>
      <c r="K48" s="50">
        <f t="shared" si="6"/>
        <v>3.0000000000000006E-2</v>
      </c>
    </row>
    <row r="49" spans="3:11" x14ac:dyDescent="0.25">
      <c r="C49" s="352">
        <v>0.3</v>
      </c>
      <c r="D49" s="127" t="s">
        <v>200</v>
      </c>
      <c r="E49" s="349">
        <v>0.01</v>
      </c>
      <c r="F49" s="349">
        <v>0.02</v>
      </c>
      <c r="G49" s="349">
        <v>0.03</v>
      </c>
      <c r="H49" s="349">
        <v>0.04</v>
      </c>
      <c r="I49" s="349">
        <v>0.05</v>
      </c>
      <c r="J49" s="349">
        <v>0.06</v>
      </c>
      <c r="K49" s="349">
        <v>7.0000000000000007E-2</v>
      </c>
    </row>
    <row r="50" spans="3:11" x14ac:dyDescent="0.25">
      <c r="C50" s="348"/>
      <c r="D50" s="150"/>
      <c r="E50" s="46">
        <v>0</v>
      </c>
      <c r="F50" s="85">
        <v>0.5</v>
      </c>
      <c r="G50" s="85">
        <v>1</v>
      </c>
      <c r="H50" s="85">
        <v>0.75</v>
      </c>
      <c r="I50" s="85">
        <v>0.5</v>
      </c>
      <c r="J50" s="85">
        <v>0.25</v>
      </c>
      <c r="K50" s="85">
        <v>0</v>
      </c>
    </row>
    <row r="51" spans="3:11" x14ac:dyDescent="0.25">
      <c r="C51" s="159"/>
      <c r="D51" s="51"/>
      <c r="E51" s="50">
        <f t="shared" ref="E51:K51" si="7">$E$42*$C$49*E50</f>
        <v>0</v>
      </c>
      <c r="F51" s="50">
        <f t="shared" si="7"/>
        <v>1.4999999999999999E-2</v>
      </c>
      <c r="G51" s="50">
        <f t="shared" si="7"/>
        <v>0.03</v>
      </c>
      <c r="H51" s="50">
        <f t="shared" si="7"/>
        <v>2.2499999999999999E-2</v>
      </c>
      <c r="I51" s="50">
        <f t="shared" si="7"/>
        <v>1.4999999999999999E-2</v>
      </c>
      <c r="J51" s="50">
        <f t="shared" si="7"/>
        <v>7.4999999999999997E-3</v>
      </c>
      <c r="K51" s="50">
        <f t="shared" si="7"/>
        <v>0</v>
      </c>
    </row>
    <row r="53" spans="3:11" x14ac:dyDescent="0.25">
      <c r="D53" s="343"/>
      <c r="G53" s="343"/>
    </row>
    <row r="54" spans="3:11" x14ac:dyDescent="0.25">
      <c r="E54" s="343"/>
      <c r="F54" s="343"/>
    </row>
    <row r="55" spans="3:11" x14ac:dyDescent="0.25">
      <c r="F55" s="343"/>
    </row>
    <row r="56" spans="3:11" x14ac:dyDescent="0.25">
      <c r="F56" s="343"/>
    </row>
    <row r="57" spans="3:11" x14ac:dyDescent="0.25">
      <c r="F57" s="343"/>
    </row>
  </sheetData>
  <mergeCells count="4">
    <mergeCell ref="E23:G23"/>
    <mergeCell ref="D23:D24"/>
    <mergeCell ref="C23:C24"/>
    <mergeCell ref="C9:C1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AAD7-E0D7-4B14-8690-BBE1E6102A47}">
  <dimension ref="A1:U33"/>
  <sheetViews>
    <sheetView showGridLines="0" zoomScale="90" zoomScaleNormal="90" workbookViewId="0">
      <selection activeCell="P28" sqref="P28"/>
    </sheetView>
  </sheetViews>
  <sheetFormatPr defaultRowHeight="15" x14ac:dyDescent="0.25"/>
  <cols>
    <col min="1" max="1" width="3.28515625" customWidth="1"/>
    <col min="2" max="2" width="50.5703125" bestFit="1" customWidth="1"/>
    <col min="3" max="3" width="15.7109375" bestFit="1" customWidth="1"/>
    <col min="4" max="4" width="50.5703125" bestFit="1" customWidth="1"/>
    <col min="5" max="5" width="12.28515625" bestFit="1" customWidth="1"/>
    <col min="6" max="6" width="11.85546875" bestFit="1" customWidth="1"/>
    <col min="7" max="7" width="9.42578125" bestFit="1" customWidth="1"/>
    <col min="8" max="8" width="13.28515625" bestFit="1" customWidth="1"/>
    <col min="9" max="9" width="12.28515625" bestFit="1" customWidth="1"/>
    <col min="10" max="10" width="12.7109375" bestFit="1" customWidth="1"/>
    <col min="11" max="11" width="11.140625" bestFit="1" customWidth="1"/>
    <col min="12" max="12" width="5.42578125" bestFit="1" customWidth="1"/>
    <col min="13" max="13" width="9.5703125" bestFit="1" customWidth="1"/>
    <col min="14" max="14" width="5.28515625" bestFit="1" customWidth="1"/>
    <col min="15" max="15" width="5.85546875" bestFit="1" customWidth="1"/>
    <col min="16" max="16" width="6.42578125" customWidth="1"/>
    <col min="24" max="24" width="2.28515625" customWidth="1"/>
    <col min="25" max="25" width="1.28515625" customWidth="1"/>
  </cols>
  <sheetData>
    <row r="1" spans="2:21" x14ac:dyDescent="0.25">
      <c r="E1" t="s">
        <v>19</v>
      </c>
      <c r="F1" t="s">
        <v>23</v>
      </c>
    </row>
    <row r="2" spans="2:21" x14ac:dyDescent="0.25">
      <c r="B2" t="s">
        <v>14</v>
      </c>
      <c r="C2" s="3">
        <v>25000000</v>
      </c>
      <c r="E2" s="9">
        <f>F2/C2</f>
        <v>-9.4000000000000004E-3</v>
      </c>
      <c r="F2" s="105">
        <f>K11</f>
        <v>-235000</v>
      </c>
      <c r="Q2" s="22"/>
      <c r="R2" s="22"/>
      <c r="S2" s="22"/>
      <c r="T2" s="22"/>
      <c r="U2" s="22"/>
    </row>
    <row r="3" spans="2:21" x14ac:dyDescent="0.25">
      <c r="B3" t="s">
        <v>15</v>
      </c>
      <c r="C3" s="4">
        <f>I8+I9</f>
        <v>4815000</v>
      </c>
      <c r="D3" s="16">
        <f>C3/C2</f>
        <v>0.19259999999999999</v>
      </c>
      <c r="I3" s="2"/>
      <c r="Q3" s="36"/>
      <c r="R3" s="36"/>
      <c r="S3" s="36"/>
      <c r="T3" s="36"/>
      <c r="U3" s="36"/>
    </row>
    <row r="4" spans="2:21" x14ac:dyDescent="0.25">
      <c r="B4" t="s">
        <v>16</v>
      </c>
      <c r="C4" s="1">
        <f>C2-C3</f>
        <v>20185000</v>
      </c>
      <c r="D4" s="15">
        <f>C4/C2</f>
        <v>0.80740000000000001</v>
      </c>
      <c r="Q4" s="37"/>
      <c r="R4" s="22"/>
      <c r="S4" s="38"/>
      <c r="T4" s="22"/>
      <c r="U4" s="38"/>
    </row>
    <row r="5" spans="2:21" x14ac:dyDescent="0.25">
      <c r="C5" s="1"/>
      <c r="D5" s="15"/>
      <c r="Q5" s="37"/>
      <c r="R5" s="22"/>
      <c r="S5" s="38"/>
      <c r="T5" s="22"/>
      <c r="U5" s="38"/>
    </row>
    <row r="6" spans="2:21" x14ac:dyDescent="0.25">
      <c r="Q6" s="22"/>
      <c r="R6" s="22"/>
      <c r="S6" s="22"/>
      <c r="T6" s="22"/>
      <c r="U6" s="22"/>
    </row>
    <row r="7" spans="2:21" x14ac:dyDescent="0.25">
      <c r="B7" s="17" t="s">
        <v>0</v>
      </c>
      <c r="C7" s="35" t="s">
        <v>1</v>
      </c>
      <c r="D7" s="35" t="s">
        <v>11</v>
      </c>
      <c r="E7" s="35" t="s">
        <v>2</v>
      </c>
      <c r="F7" s="35" t="s">
        <v>3</v>
      </c>
      <c r="G7" s="35" t="s">
        <v>4</v>
      </c>
      <c r="H7" s="35" t="s">
        <v>6</v>
      </c>
      <c r="I7" s="35" t="s">
        <v>5</v>
      </c>
      <c r="J7" s="35" t="s">
        <v>8</v>
      </c>
      <c r="K7" s="580" t="s">
        <v>9</v>
      </c>
      <c r="L7" s="580"/>
      <c r="M7" s="5" t="s">
        <v>17</v>
      </c>
    </row>
    <row r="8" spans="2:21" x14ac:dyDescent="0.25">
      <c r="B8" s="12" t="e" vm="81">
        <v>#VALUE!</v>
      </c>
      <c r="C8" s="12" t="s">
        <v>33</v>
      </c>
      <c r="D8" s="12" t="s">
        <v>34</v>
      </c>
      <c r="E8" s="106">
        <v>4560</v>
      </c>
      <c r="F8" s="106">
        <f>5*100</f>
        <v>500</v>
      </c>
      <c r="G8" s="106">
        <f>25000*2</f>
        <v>50000</v>
      </c>
      <c r="H8" s="106">
        <f>((E8*F8)+G8)/F8</f>
        <v>4660</v>
      </c>
      <c r="I8" s="106">
        <f>H8*F8</f>
        <v>2330000</v>
      </c>
      <c r="J8" s="106">
        <v>4550</v>
      </c>
      <c r="K8" s="106">
        <f>(J8-H8)*F8</f>
        <v>-55000</v>
      </c>
      <c r="L8" s="13">
        <f>K8/I8</f>
        <v>-2.3605150214592276E-2</v>
      </c>
      <c r="M8" s="14">
        <v>44014</v>
      </c>
      <c r="N8" t="s">
        <v>22</v>
      </c>
      <c r="O8" s="16"/>
    </row>
    <row r="9" spans="2:21" x14ac:dyDescent="0.25">
      <c r="B9" s="12" t="e" vm="82">
        <v>#VALUE!</v>
      </c>
      <c r="C9" s="12" t="s">
        <v>33</v>
      </c>
      <c r="D9" s="12" t="s">
        <v>34</v>
      </c>
      <c r="E9" s="106">
        <v>4870</v>
      </c>
      <c r="F9" s="106">
        <f>5*100</f>
        <v>500</v>
      </c>
      <c r="G9" s="106">
        <f>25000*2</f>
        <v>50000</v>
      </c>
      <c r="H9" s="106">
        <f>((E9*F9)+G9)/F9</f>
        <v>4970</v>
      </c>
      <c r="I9" s="106">
        <f>H9*F9</f>
        <v>2485000</v>
      </c>
      <c r="J9" s="106">
        <v>4610</v>
      </c>
      <c r="K9" s="106">
        <f>(J9-H9)*F9</f>
        <v>-180000</v>
      </c>
      <c r="L9" s="13">
        <f>K9/I9</f>
        <v>-7.2434607645875254E-2</v>
      </c>
      <c r="M9" s="14">
        <v>44014</v>
      </c>
      <c r="N9" t="s">
        <v>22</v>
      </c>
      <c r="O9" s="16"/>
    </row>
    <row r="10" spans="2:21" x14ac:dyDescent="0.25">
      <c r="B10" s="12"/>
      <c r="C10" s="12"/>
      <c r="D10" s="12"/>
      <c r="E10" s="106"/>
      <c r="F10" s="106"/>
      <c r="G10" s="106"/>
      <c r="H10" s="106"/>
      <c r="I10" s="106"/>
      <c r="J10" s="106"/>
      <c r="K10" s="106"/>
      <c r="L10" s="13"/>
      <c r="M10" s="14"/>
      <c r="N10" s="11"/>
      <c r="O10" s="16"/>
    </row>
    <row r="11" spans="2:21" x14ac:dyDescent="0.25">
      <c r="E11" s="10"/>
      <c r="F11" s="10"/>
      <c r="G11" s="107">
        <f>SUM(G8:G10)</f>
        <v>100000</v>
      </c>
      <c r="H11" s="10"/>
      <c r="I11" s="10"/>
      <c r="J11" s="10"/>
      <c r="K11" s="108">
        <f>SUM(K8:K10)</f>
        <v>-235000</v>
      </c>
    </row>
    <row r="12" spans="2:21" x14ac:dyDescent="0.25">
      <c r="E12" s="10"/>
      <c r="F12" s="10"/>
      <c r="G12" s="10"/>
      <c r="H12" s="10"/>
      <c r="I12" s="10"/>
      <c r="J12" s="10"/>
      <c r="K12" s="10"/>
      <c r="Q12" s="6"/>
    </row>
    <row r="13" spans="2:21" x14ac:dyDescent="0.25">
      <c r="E13" s="10"/>
      <c r="F13" s="10"/>
      <c r="G13" s="10"/>
      <c r="H13" s="10"/>
      <c r="I13" s="10"/>
      <c r="J13" s="10"/>
      <c r="K13" s="10"/>
    </row>
    <row r="14" spans="2:21" x14ac:dyDescent="0.25">
      <c r="E14" s="10"/>
      <c r="F14" s="10"/>
      <c r="G14" s="10"/>
      <c r="H14" s="10"/>
      <c r="I14" s="10"/>
      <c r="J14" s="10"/>
      <c r="K14" s="10"/>
      <c r="P14" s="15"/>
    </row>
    <row r="15" spans="2:21" x14ac:dyDescent="0.25">
      <c r="B15" t="e" vm="81">
        <v>#VALUE!</v>
      </c>
      <c r="C15" s="12" t="s">
        <v>33</v>
      </c>
      <c r="D15" s="12" t="s">
        <v>34</v>
      </c>
      <c r="E15" s="106">
        <f>E8</f>
        <v>4560</v>
      </c>
      <c r="F15" s="106">
        <f>F8</f>
        <v>500</v>
      </c>
      <c r="G15" s="106">
        <f>G8</f>
        <v>50000</v>
      </c>
      <c r="H15" s="106">
        <f>((E15*F15)+G15)/F15</f>
        <v>4660</v>
      </c>
      <c r="I15" s="106">
        <f>H15*F15</f>
        <v>2330000</v>
      </c>
      <c r="J15" s="106">
        <v>4560</v>
      </c>
      <c r="K15" s="106">
        <f>(J15-H15)*F15</f>
        <v>-50000</v>
      </c>
      <c r="L15" s="13">
        <f>K15/I15</f>
        <v>-2.1459227467811159E-2</v>
      </c>
      <c r="M15" t="s">
        <v>24</v>
      </c>
      <c r="P15" s="15"/>
    </row>
    <row r="16" spans="2:21" x14ac:dyDescent="0.25">
      <c r="B16" s="8">
        <f>E16/E15</f>
        <v>0.80043859649122806</v>
      </c>
      <c r="C16" s="18" t="s">
        <v>33</v>
      </c>
      <c r="D16" s="18" t="s">
        <v>34</v>
      </c>
      <c r="E16" s="109">
        <v>3650</v>
      </c>
      <c r="F16" s="109">
        <v>800</v>
      </c>
      <c r="G16" s="109">
        <f>G15</f>
        <v>50000</v>
      </c>
      <c r="H16" s="109">
        <f>((E16*F16)+G16)/F16</f>
        <v>3712.5</v>
      </c>
      <c r="I16" s="109">
        <f>H16*F16</f>
        <v>2970000</v>
      </c>
      <c r="J16" s="109"/>
      <c r="K16" s="109"/>
      <c r="L16" s="19"/>
      <c r="M16" s="20" t="s">
        <v>25</v>
      </c>
      <c r="P16" s="15"/>
    </row>
    <row r="17" spans="1:16" x14ac:dyDescent="0.25">
      <c r="B17" s="8">
        <f>E17/E16</f>
        <v>0.79452054794520544</v>
      </c>
      <c r="C17" s="18" t="s">
        <v>33</v>
      </c>
      <c r="D17" s="18" t="s">
        <v>34</v>
      </c>
      <c r="E17" s="109">
        <v>2900</v>
      </c>
      <c r="F17" s="109">
        <f>F16*2</f>
        <v>1600</v>
      </c>
      <c r="G17" s="109">
        <f>G16</f>
        <v>50000</v>
      </c>
      <c r="H17" s="109">
        <f>((E17*F17)+G17)/F17</f>
        <v>2931.25</v>
      </c>
      <c r="I17" s="109">
        <f>H17*F17</f>
        <v>4690000</v>
      </c>
      <c r="J17" s="109"/>
      <c r="K17" s="109"/>
      <c r="L17" s="19"/>
      <c r="M17" s="20" t="s">
        <v>26</v>
      </c>
      <c r="P17" s="11"/>
    </row>
    <row r="18" spans="1:16" x14ac:dyDescent="0.25">
      <c r="C18" s="12" t="s">
        <v>33</v>
      </c>
      <c r="D18" s="12" t="s">
        <v>34</v>
      </c>
      <c r="E18" s="110">
        <f>(E15*F15+E16*F16+E17*F17)/SUM(F15:F17)</f>
        <v>3393.1034482758619</v>
      </c>
      <c r="F18" s="106">
        <f>SUM(F15:F17)</f>
        <v>2900</v>
      </c>
      <c r="G18" s="106">
        <f>SUM(G15:G17)</f>
        <v>150000</v>
      </c>
      <c r="H18" s="106">
        <f>((E18*F18)+G18)/F18</f>
        <v>3444.8275862068967</v>
      </c>
      <c r="I18" s="106">
        <f>H18*F18</f>
        <v>9990000</v>
      </c>
      <c r="J18" s="106">
        <f>E17</f>
        <v>2900</v>
      </c>
      <c r="K18" s="106">
        <f>(J18-H18)*F18</f>
        <v>-1580000.0000000005</v>
      </c>
      <c r="L18" s="13">
        <f>K18/I18</f>
        <v>-0.1581581581581582</v>
      </c>
      <c r="M18" t="s">
        <v>5</v>
      </c>
    </row>
    <row r="19" spans="1:16" x14ac:dyDescent="0.25">
      <c r="E19" s="10"/>
      <c r="F19" s="10"/>
      <c r="G19" s="10"/>
      <c r="H19" s="10"/>
      <c r="I19" s="10"/>
      <c r="J19" s="10"/>
      <c r="K19" s="10"/>
    </row>
    <row r="20" spans="1:16" x14ac:dyDescent="0.25">
      <c r="E20" s="10"/>
      <c r="F20" s="10"/>
      <c r="G20" s="10"/>
      <c r="H20" s="10"/>
      <c r="I20" s="10"/>
      <c r="J20" s="10"/>
      <c r="K20" s="10"/>
    </row>
    <row r="21" spans="1:16" x14ac:dyDescent="0.25">
      <c r="B21" t="e" vm="82">
        <v>#VALUE!</v>
      </c>
      <c r="C21" s="12" t="s">
        <v>33</v>
      </c>
      <c r="D21" s="12" t="s">
        <v>34</v>
      </c>
      <c r="E21" s="106">
        <f>E9</f>
        <v>4870</v>
      </c>
      <c r="F21" s="106">
        <f>F9</f>
        <v>500</v>
      </c>
      <c r="G21" s="106">
        <f>G9</f>
        <v>50000</v>
      </c>
      <c r="H21" s="106">
        <f>((E21*F21)+G21)/F21</f>
        <v>4970</v>
      </c>
      <c r="I21" s="106">
        <f>H21*F21</f>
        <v>2485000</v>
      </c>
      <c r="J21" s="106">
        <f>J9</f>
        <v>4610</v>
      </c>
      <c r="K21" s="106">
        <f>(J21-H21)*F21</f>
        <v>-180000</v>
      </c>
      <c r="L21" s="13">
        <f>K21/I21</f>
        <v>-7.2434607645875254E-2</v>
      </c>
      <c r="M21" t="s">
        <v>24</v>
      </c>
    </row>
    <row r="22" spans="1:16" x14ac:dyDescent="0.25">
      <c r="B22" s="8">
        <f>E22/E21</f>
        <v>0.80082135523613962</v>
      </c>
      <c r="C22" s="18" t="s">
        <v>33</v>
      </c>
      <c r="D22" s="18" t="s">
        <v>34</v>
      </c>
      <c r="E22" s="109">
        <v>3900</v>
      </c>
      <c r="F22" s="109">
        <v>800</v>
      </c>
      <c r="G22" s="109">
        <f>G21</f>
        <v>50000</v>
      </c>
      <c r="H22" s="109">
        <f>((E22*F22)+G22)/F22</f>
        <v>3962.5</v>
      </c>
      <c r="I22" s="109">
        <f>H22*F22</f>
        <v>3170000</v>
      </c>
      <c r="J22" s="109"/>
      <c r="K22" s="109"/>
      <c r="L22" s="19"/>
      <c r="M22" s="20" t="s">
        <v>25</v>
      </c>
    </row>
    <row r="23" spans="1:16" x14ac:dyDescent="0.25">
      <c r="B23" s="8">
        <f>E23/E22</f>
        <v>0.79487179487179482</v>
      </c>
      <c r="C23" s="18" t="s">
        <v>33</v>
      </c>
      <c r="D23" s="18" t="s">
        <v>34</v>
      </c>
      <c r="E23" s="109">
        <v>3100</v>
      </c>
      <c r="F23" s="109">
        <f>F22*2</f>
        <v>1600</v>
      </c>
      <c r="G23" s="109">
        <f>G22</f>
        <v>50000</v>
      </c>
      <c r="H23" s="109">
        <f>((E23*F23)+G23)/F23</f>
        <v>3131.25</v>
      </c>
      <c r="I23" s="109">
        <f>H23*F23</f>
        <v>5010000</v>
      </c>
      <c r="J23" s="109"/>
      <c r="K23" s="109"/>
      <c r="L23" s="19"/>
      <c r="M23" s="20" t="s">
        <v>26</v>
      </c>
    </row>
    <row r="24" spans="1:16" x14ac:dyDescent="0.25">
      <c r="C24" s="12" t="s">
        <v>33</v>
      </c>
      <c r="D24" s="12" t="s">
        <v>34</v>
      </c>
      <c r="E24" s="110">
        <f>(E21*F21+E22*F22+E23*F23)/SUM(F21:F23)</f>
        <v>3625.8620689655172</v>
      </c>
      <c r="F24" s="106">
        <f>SUM(F21:F23)</f>
        <v>2900</v>
      </c>
      <c r="G24" s="106">
        <f>SUM(G21:G23)</f>
        <v>150000</v>
      </c>
      <c r="H24" s="106">
        <f>((E24*F24)+G24)/F24</f>
        <v>3677.5862068965516</v>
      </c>
      <c r="I24" s="106">
        <f>H24*F24</f>
        <v>10665000</v>
      </c>
      <c r="J24" s="106">
        <f>E23</f>
        <v>3100</v>
      </c>
      <c r="K24" s="106">
        <f>(J24-H24)*F24</f>
        <v>-1674999.9999999998</v>
      </c>
      <c r="L24" s="13">
        <f>K24/I24</f>
        <v>-0.15705578996718236</v>
      </c>
      <c r="M24" t="s">
        <v>5</v>
      </c>
    </row>
    <row r="25" spans="1:16" x14ac:dyDescent="0.25">
      <c r="K25" s="8"/>
    </row>
    <row r="26" spans="1:16" x14ac:dyDescent="0.25">
      <c r="I26" s="21"/>
      <c r="J26" s="22"/>
      <c r="K26" s="21"/>
      <c r="L26" s="23"/>
    </row>
    <row r="27" spans="1:16" x14ac:dyDescent="0.25">
      <c r="A27" s="11"/>
      <c r="B27" s="30" t="s">
        <v>27</v>
      </c>
      <c r="C27" s="24" t="s">
        <v>28</v>
      </c>
      <c r="D27" s="29"/>
      <c r="E27" s="111">
        <f>SUM(E28:E29)</f>
        <v>20655000</v>
      </c>
      <c r="F27" s="25">
        <f>E27/$C$2</f>
        <v>0.82620000000000005</v>
      </c>
    </row>
    <row r="28" spans="1:16" x14ac:dyDescent="0.25">
      <c r="B28" s="30" t="s">
        <v>31</v>
      </c>
      <c r="C28" s="22">
        <v>1</v>
      </c>
      <c r="D28" s="30" t="e" vm="81">
        <f>B15</f>
        <v>#VALUE!</v>
      </c>
      <c r="E28" s="112">
        <f>I18</f>
        <v>9990000</v>
      </c>
      <c r="F28" s="26">
        <f>E28/$E$27</f>
        <v>0.48366013071895425</v>
      </c>
    </row>
    <row r="29" spans="1:16" x14ac:dyDescent="0.25">
      <c r="B29" s="30"/>
      <c r="C29" s="22">
        <v>2</v>
      </c>
      <c r="D29" s="30" t="e" vm="82">
        <f>B21</f>
        <v>#VALUE!</v>
      </c>
      <c r="E29" s="112">
        <f>I24</f>
        <v>10665000</v>
      </c>
      <c r="F29" s="26">
        <f>E29/$E$27</f>
        <v>0.5163398692810458</v>
      </c>
    </row>
    <row r="30" spans="1:16" x14ac:dyDescent="0.25">
      <c r="B30" s="30"/>
      <c r="C30" s="22"/>
      <c r="D30" s="30"/>
      <c r="E30" s="112"/>
      <c r="F30" s="26"/>
    </row>
    <row r="31" spans="1:16" ht="13.9" customHeight="1" x14ac:dyDescent="0.25">
      <c r="A31" t="s">
        <v>32</v>
      </c>
      <c r="B31" s="30"/>
      <c r="C31" s="34" t="s">
        <v>30</v>
      </c>
      <c r="D31" s="32"/>
      <c r="E31" s="114">
        <f>K18+K24</f>
        <v>-3255000</v>
      </c>
      <c r="F31" s="33">
        <f>E31/E27</f>
        <v>-0.15758896151053015</v>
      </c>
    </row>
    <row r="32" spans="1:16" x14ac:dyDescent="0.25">
      <c r="B32" s="30"/>
      <c r="C32" s="22"/>
      <c r="D32" s="30"/>
      <c r="E32" s="112"/>
      <c r="F32" s="26"/>
    </row>
    <row r="33" spans="2:11" x14ac:dyDescent="0.25">
      <c r="B33" s="30"/>
      <c r="C33" s="27" t="s">
        <v>29</v>
      </c>
      <c r="D33" s="31"/>
      <c r="E33" s="113">
        <f>C2-E27</f>
        <v>4345000</v>
      </c>
      <c r="F33" s="28">
        <f>E33/$C$2</f>
        <v>0.17380000000000001</v>
      </c>
      <c r="K33" s="8"/>
    </row>
  </sheetData>
  <mergeCells count="1">
    <mergeCell ref="K7:L7"/>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724E-A583-4B64-ACE4-7084A7AD9F51}">
  <dimension ref="D3:J15"/>
  <sheetViews>
    <sheetView showGridLines="0" workbookViewId="0">
      <selection activeCell="P28" sqref="P28"/>
    </sheetView>
  </sheetViews>
  <sheetFormatPr defaultColWidth="9.140625" defaultRowHeight="15" x14ac:dyDescent="0.25"/>
  <cols>
    <col min="1" max="3" width="9.140625" style="433"/>
    <col min="4" max="4" width="23" style="433" bestFit="1" customWidth="1"/>
    <col min="5" max="16384" width="9.140625" style="433"/>
  </cols>
  <sheetData>
    <row r="3" spans="4:10" x14ac:dyDescent="0.25">
      <c r="D3" s="437"/>
      <c r="E3" s="432" t="s">
        <v>285</v>
      </c>
      <c r="F3" s="432" t="s">
        <v>286</v>
      </c>
      <c r="G3" s="432" t="s">
        <v>190</v>
      </c>
    </row>
    <row r="4" spans="4:10" x14ac:dyDescent="0.25">
      <c r="D4" s="437" t="s">
        <v>275</v>
      </c>
      <c r="E4" s="438">
        <v>0.27600000000000002</v>
      </c>
      <c r="F4" s="438">
        <v>0.4839</v>
      </c>
      <c r="G4" s="438">
        <v>0.17560000000000001</v>
      </c>
      <c r="H4" s="435"/>
      <c r="I4" s="435"/>
      <c r="J4" s="435"/>
    </row>
    <row r="5" spans="4:10" x14ac:dyDescent="0.25">
      <c r="D5" s="437" t="s">
        <v>274</v>
      </c>
      <c r="E5" s="438">
        <v>0.13439999999999999</v>
      </c>
      <c r="F5" s="438">
        <v>0.1021</v>
      </c>
      <c r="G5" s="438">
        <v>0.1</v>
      </c>
      <c r="H5" s="435"/>
      <c r="I5" s="435"/>
      <c r="J5" s="435"/>
    </row>
    <row r="6" spans="4:10" x14ac:dyDescent="0.25">
      <c r="D6" s="437" t="s">
        <v>276</v>
      </c>
      <c r="E6" s="438">
        <v>0.127</v>
      </c>
      <c r="F6" s="438">
        <v>0.1943</v>
      </c>
      <c r="G6" s="438">
        <v>0.1449</v>
      </c>
      <c r="H6" s="435"/>
      <c r="I6" s="435"/>
      <c r="J6" s="435"/>
    </row>
    <row r="7" spans="4:10" x14ac:dyDescent="0.25">
      <c r="D7" s="437" t="s">
        <v>277</v>
      </c>
      <c r="E7" s="438">
        <v>0.1079</v>
      </c>
      <c r="F7" s="438">
        <v>7.1999999999999998E-3</v>
      </c>
      <c r="G7" s="438">
        <v>0.05</v>
      </c>
      <c r="H7" s="435"/>
      <c r="I7" s="435"/>
      <c r="J7" s="435"/>
    </row>
    <row r="8" spans="4:10" x14ac:dyDescent="0.25">
      <c r="D8" s="437" t="s">
        <v>278</v>
      </c>
      <c r="E8" s="438">
        <v>0.10340000000000001</v>
      </c>
      <c r="F8" s="438">
        <v>7.2099999999999997E-2</v>
      </c>
      <c r="G8" s="438">
        <v>0.05</v>
      </c>
      <c r="H8" s="435"/>
      <c r="I8" s="435"/>
      <c r="J8" s="435"/>
    </row>
    <row r="9" spans="4:10" x14ac:dyDescent="0.25">
      <c r="D9" s="437" t="s">
        <v>279</v>
      </c>
      <c r="E9" s="438">
        <v>8.4699999999999998E-2</v>
      </c>
      <c r="F9" s="438">
        <v>6.8500000000000005E-2</v>
      </c>
      <c r="G9" s="438">
        <v>0.22189999999999999</v>
      </c>
      <c r="H9" s="435"/>
      <c r="I9" s="435"/>
      <c r="J9" s="435"/>
    </row>
    <row r="10" spans="4:10" x14ac:dyDescent="0.25">
      <c r="D10" s="437" t="s">
        <v>280</v>
      </c>
      <c r="E10" s="438">
        <v>6.5500000000000003E-2</v>
      </c>
      <c r="F10" s="438">
        <v>5.5100000000000003E-2</v>
      </c>
      <c r="G10" s="438">
        <v>0.10249999999999999</v>
      </c>
      <c r="H10" s="435"/>
      <c r="I10" s="435"/>
      <c r="J10" s="435"/>
    </row>
    <row r="11" spans="4:10" x14ac:dyDescent="0.25">
      <c r="D11" s="437" t="s">
        <v>281</v>
      </c>
      <c r="E11" s="438">
        <v>2.7300000000000001E-2</v>
      </c>
      <c r="F11" s="438">
        <v>8.0999999999999996E-3</v>
      </c>
      <c r="G11" s="438">
        <v>0.01</v>
      </c>
      <c r="H11" s="435"/>
      <c r="I11" s="435"/>
      <c r="J11" s="435"/>
    </row>
    <row r="12" spans="4:10" x14ac:dyDescent="0.25">
      <c r="D12" s="437" t="s">
        <v>282</v>
      </c>
      <c r="E12" s="438">
        <v>2.64E-2</v>
      </c>
      <c r="F12" s="438">
        <v>3.2000000000000002E-3</v>
      </c>
      <c r="G12" s="438">
        <v>9.1000000000000004E-3</v>
      </c>
      <c r="H12" s="435"/>
      <c r="I12" s="435"/>
      <c r="J12" s="435"/>
    </row>
    <row r="13" spans="4:10" x14ac:dyDescent="0.25">
      <c r="D13" s="437" t="s">
        <v>284</v>
      </c>
      <c r="E13" s="438">
        <v>2.41E-2</v>
      </c>
      <c r="F13" s="438"/>
      <c r="G13" s="438">
        <v>2.1700000000000001E-2</v>
      </c>
      <c r="H13" s="435"/>
      <c r="I13" s="435"/>
      <c r="J13" s="435"/>
    </row>
    <row r="14" spans="4:10" x14ac:dyDescent="0.25">
      <c r="D14" s="437" t="s">
        <v>283</v>
      </c>
      <c r="E14" s="438">
        <v>2.3300000000000001E-2</v>
      </c>
      <c r="F14" s="438">
        <v>5.4999999999999997E-3</v>
      </c>
      <c r="G14" s="438">
        <v>0.1143</v>
      </c>
      <c r="H14" s="435"/>
      <c r="I14" s="435"/>
      <c r="J14" s="435"/>
    </row>
    <row r="15" spans="4:10" x14ac:dyDescent="0.25">
      <c r="E15" s="436">
        <f>SUM(E4:E14)</f>
        <v>1</v>
      </c>
      <c r="F15" s="436">
        <f>SUM(F4:F14)</f>
        <v>0.99999999999999989</v>
      </c>
      <c r="G15" s="436">
        <f>SUM(G4:G14)</f>
        <v>1</v>
      </c>
    </row>
  </sheetData>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6EF8-8449-4881-8480-CB1AC033D7FF}">
  <dimension ref="C5:G13"/>
  <sheetViews>
    <sheetView showGridLines="0" workbookViewId="0">
      <selection activeCell="U30" sqref="U30"/>
    </sheetView>
  </sheetViews>
  <sheetFormatPr defaultRowHeight="15" x14ac:dyDescent="0.25"/>
  <sheetData>
    <row r="5" spans="3:7" x14ac:dyDescent="0.25">
      <c r="C5" s="7" t="s">
        <v>18</v>
      </c>
      <c r="D5" s="7"/>
      <c r="E5" s="7" t="s">
        <v>19</v>
      </c>
      <c r="F5" s="7"/>
      <c r="G5" s="7" t="s">
        <v>20</v>
      </c>
    </row>
    <row r="6" spans="3:7" x14ac:dyDescent="0.25">
      <c r="C6" s="85">
        <v>0.05</v>
      </c>
      <c r="D6" s="46"/>
      <c r="E6" s="86">
        <v>5.2999999999999999E-2</v>
      </c>
      <c r="F6" s="46"/>
      <c r="G6" s="86">
        <f t="shared" ref="G6:G13" si="0">E6/C6</f>
        <v>1.0599999999999998</v>
      </c>
    </row>
    <row r="7" spans="3:7" x14ac:dyDescent="0.25">
      <c r="C7" s="85">
        <v>0.1</v>
      </c>
      <c r="D7" s="46"/>
      <c r="E7" s="85">
        <v>0.11</v>
      </c>
      <c r="F7" s="46"/>
      <c r="G7" s="86">
        <f t="shared" si="0"/>
        <v>1.0999999999999999</v>
      </c>
    </row>
    <row r="8" spans="3:7" x14ac:dyDescent="0.25">
      <c r="C8" s="85">
        <v>0.15</v>
      </c>
      <c r="D8" s="46"/>
      <c r="E8" s="85">
        <v>0.18</v>
      </c>
      <c r="F8" s="46"/>
      <c r="G8" s="86">
        <f t="shared" si="0"/>
        <v>1.2</v>
      </c>
    </row>
    <row r="9" spans="3:7" x14ac:dyDescent="0.25">
      <c r="C9" s="85">
        <v>0.2</v>
      </c>
      <c r="D9" s="46"/>
      <c r="E9" s="85">
        <v>0.25</v>
      </c>
      <c r="F9" s="46"/>
      <c r="G9" s="86">
        <f t="shared" si="0"/>
        <v>1.25</v>
      </c>
    </row>
    <row r="10" spans="3:7" x14ac:dyDescent="0.25">
      <c r="C10" s="85">
        <v>0.25</v>
      </c>
      <c r="D10" s="46"/>
      <c r="E10" s="85">
        <v>0.33</v>
      </c>
      <c r="F10" s="46"/>
      <c r="G10" s="86">
        <f t="shared" si="0"/>
        <v>1.32</v>
      </c>
    </row>
    <row r="11" spans="3:7" x14ac:dyDescent="0.25">
      <c r="C11" s="85">
        <v>0.3</v>
      </c>
      <c r="D11" s="46"/>
      <c r="E11" s="85">
        <v>0.43</v>
      </c>
      <c r="F11" s="46"/>
      <c r="G11" s="86">
        <f t="shared" si="0"/>
        <v>1.4333333333333333</v>
      </c>
    </row>
    <row r="12" spans="3:7" x14ac:dyDescent="0.25">
      <c r="C12" s="85">
        <v>0.4</v>
      </c>
      <c r="D12" s="46"/>
      <c r="E12" s="85">
        <v>0.67</v>
      </c>
      <c r="F12" s="46"/>
      <c r="G12" s="86">
        <f t="shared" si="0"/>
        <v>1.675</v>
      </c>
    </row>
    <row r="13" spans="3:7" x14ac:dyDescent="0.25">
      <c r="C13" s="85">
        <v>0.5</v>
      </c>
      <c r="D13" s="46"/>
      <c r="E13" s="85">
        <v>1</v>
      </c>
      <c r="F13" s="46"/>
      <c r="G13" s="86">
        <f t="shared" si="0"/>
        <v>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BB59E-C286-4A23-B185-80EC1E24F16E}">
  <dimension ref="D3:S81"/>
  <sheetViews>
    <sheetView showGridLines="0" topLeftCell="C1" workbookViewId="0">
      <pane ySplit="3" topLeftCell="A4" activePane="bottomLeft" state="frozen"/>
      <selection activeCell="C1" sqref="C1"/>
      <selection pane="bottomLeft" activeCell="S13" sqref="S13"/>
    </sheetView>
  </sheetViews>
  <sheetFormatPr defaultColWidth="8.85546875" defaultRowHeight="15" x14ac:dyDescent="0.25"/>
  <cols>
    <col min="1" max="3" width="8.85546875" style="39"/>
    <col min="4" max="4" width="4.28515625" style="153" bestFit="1" customWidth="1"/>
    <col min="5" max="5" width="56.42578125" style="39" bestFit="1" customWidth="1"/>
    <col min="6" max="6" width="9.5703125" style="39" bestFit="1" customWidth="1"/>
    <col min="7" max="7" width="12.42578125" style="39" bestFit="1" customWidth="1"/>
    <col min="8" max="8" width="11.7109375" style="39" bestFit="1" customWidth="1"/>
    <col min="9" max="9" width="9.5703125" style="39" bestFit="1" customWidth="1"/>
    <col min="10" max="10" width="9.28515625" style="39" customWidth="1"/>
    <col min="11" max="14" width="8" style="39" bestFit="1" customWidth="1"/>
    <col min="15" max="15" width="13.28515625" style="168" bestFit="1" customWidth="1"/>
    <col min="16" max="16" width="9.28515625" style="39" bestFit="1" customWidth="1"/>
    <col min="17" max="18" width="8" style="39" bestFit="1" customWidth="1"/>
    <col min="19" max="19" width="10.28515625" style="39" bestFit="1" customWidth="1"/>
    <col min="20" max="20" width="8" style="39" bestFit="1" customWidth="1"/>
    <col min="21" max="21" width="10.140625" style="39" bestFit="1" customWidth="1"/>
    <col min="22" max="22" width="7.7109375" style="39" bestFit="1" customWidth="1"/>
    <col min="23" max="23" width="5.42578125" style="39" bestFit="1" customWidth="1"/>
    <col min="24" max="16384" width="8.85546875" style="39"/>
  </cols>
  <sheetData>
    <row r="3" spans="4:19" ht="15.75" x14ac:dyDescent="0.25">
      <c r="D3" s="155" t="s">
        <v>50</v>
      </c>
      <c r="E3" s="154" t="s">
        <v>0</v>
      </c>
      <c r="F3" s="155" t="s">
        <v>47</v>
      </c>
      <c r="G3" s="155" t="s">
        <v>60</v>
      </c>
      <c r="H3" s="155" t="s">
        <v>61</v>
      </c>
      <c r="I3" s="155" t="s">
        <v>64</v>
      </c>
      <c r="J3" s="155" t="s">
        <v>63</v>
      </c>
      <c r="K3" s="155" t="s">
        <v>43</v>
      </c>
      <c r="L3" s="155" t="s">
        <v>44</v>
      </c>
      <c r="M3" s="155" t="s">
        <v>45</v>
      </c>
      <c r="N3" s="155" t="s">
        <v>46</v>
      </c>
      <c r="O3" s="164" t="s">
        <v>62</v>
      </c>
      <c r="P3" s="162" t="s">
        <v>76</v>
      </c>
      <c r="Q3" s="162"/>
    </row>
    <row r="4" spans="4:19" ht="15.75" x14ac:dyDescent="0.25">
      <c r="D4" s="160"/>
      <c r="E4" s="157"/>
      <c r="F4" s="158"/>
      <c r="G4" s="158"/>
      <c r="H4" s="158"/>
      <c r="I4" s="158"/>
      <c r="J4" s="158"/>
      <c r="K4" s="158"/>
      <c r="L4" s="158"/>
      <c r="M4" s="158"/>
      <c r="N4" s="158"/>
      <c r="O4" s="163"/>
    </row>
    <row r="5" spans="4:19" x14ac:dyDescent="0.25">
      <c r="D5" s="159">
        <v>1</v>
      </c>
      <c r="E5" s="51" t="e" vm="83">
        <v>#VALUE!</v>
      </c>
      <c r="F5" s="156" cm="1">
        <f t="array" ref="F5">_FV(E5,"Price")</f>
        <v>310.7</v>
      </c>
      <c r="G5" s="156" cm="1">
        <f t="array" ref="G5">_FV(E5,"52 week high",TRUE)</f>
        <v>349.67</v>
      </c>
      <c r="H5" s="156" cm="1">
        <f t="array" ref="H5">_FV(E5,"52 week low",TRUE)</f>
        <v>231.1</v>
      </c>
      <c r="I5" s="156" cm="1">
        <f t="array" ref="I5">_FV(E5,"P/E",TRUE)</f>
        <v>33.056199999999997</v>
      </c>
      <c r="J5" s="156"/>
      <c r="K5" s="156">
        <v>230.38</v>
      </c>
      <c r="L5" s="156">
        <v>231.16</v>
      </c>
      <c r="M5" s="156">
        <v>236.92</v>
      </c>
      <c r="N5" s="156">
        <v>228.14</v>
      </c>
      <c r="O5" s="167" t="str">
        <f t="shared" ref="O5:O19" si="0">IF(AND(F5&lt;K5,F5&lt;L5,F5&lt;M5,F5&lt;N5),"Yes","No")</f>
        <v>No</v>
      </c>
      <c r="P5" s="83"/>
    </row>
    <row r="6" spans="4:19" x14ac:dyDescent="0.25">
      <c r="D6" s="152">
        <v>2</v>
      </c>
      <c r="E6" s="46" t="e" vm="7">
        <v>#VALUE!</v>
      </c>
      <c r="F6" s="141" cm="1">
        <f t="array" ref="F6">_FV(E6,"Price")</f>
        <v>223.59</v>
      </c>
      <c r="G6" s="141" cm="1">
        <f t="array" ref="G6">_FV(E6,"52 week high",TRUE)</f>
        <v>384.33</v>
      </c>
      <c r="H6" s="141" cm="1">
        <f t="array" ref="H6">_FV(E6,"52 week low",TRUE)</f>
        <v>185.82</v>
      </c>
      <c r="I6" s="141" cm="1">
        <f t="array" ref="I6">_FV(E6,"P/E",TRUE)</f>
        <v>16.210699999999999</v>
      </c>
      <c r="J6" s="141"/>
      <c r="K6" s="141">
        <v>261.57</v>
      </c>
      <c r="L6" s="141">
        <v>259.95</v>
      </c>
      <c r="M6" s="141">
        <v>264.76</v>
      </c>
      <c r="N6" s="141">
        <v>266.64999999999998</v>
      </c>
      <c r="O6" s="167" t="str">
        <f t="shared" si="0"/>
        <v>Yes</v>
      </c>
      <c r="P6" s="83"/>
    </row>
    <row r="7" spans="4:19" x14ac:dyDescent="0.25">
      <c r="D7" s="152">
        <v>3</v>
      </c>
      <c r="E7" s="46" t="e" vm="78">
        <v>#VALUE!</v>
      </c>
      <c r="F7" s="141" cm="1">
        <f t="array" ref="F7">_FV(E7,"Price")</f>
        <v>378.51</v>
      </c>
      <c r="G7" s="141" cm="1">
        <f t="array" ref="G7">_FV(E7,"52 week high",TRUE)</f>
        <v>700.98940000000005</v>
      </c>
      <c r="H7" s="141" cm="1">
        <f t="array" ref="H7">_FV(E7,"52 week low",TRUE)</f>
        <v>329.82</v>
      </c>
      <c r="I7" s="141" cm="1">
        <f t="array" ref="I7">_FV(E7,"P/E",TRUE)</f>
        <v>35.448999999999998</v>
      </c>
      <c r="J7" s="141"/>
      <c r="K7" s="141">
        <v>506.39</v>
      </c>
      <c r="L7" s="141">
        <v>523.66999999999996</v>
      </c>
      <c r="M7" s="141">
        <v>539.17999999999995</v>
      </c>
      <c r="N7" s="141">
        <v>532.14</v>
      </c>
      <c r="O7" s="167" t="str">
        <f t="shared" si="0"/>
        <v>Yes</v>
      </c>
      <c r="P7" s="83"/>
    </row>
    <row r="8" spans="4:19" x14ac:dyDescent="0.25">
      <c r="D8" s="152">
        <v>4</v>
      </c>
      <c r="E8" s="46" t="e" vm="39">
        <v>#VALUE!</v>
      </c>
      <c r="F8" s="141" cm="1">
        <f t="array" ref="F8">_FV(E8,"Price")</f>
        <v>175.6</v>
      </c>
      <c r="G8" s="141" cm="1">
        <f t="array" ref="G8">_FV(E8,"52 week high",TRUE)</f>
        <v>182.94</v>
      </c>
      <c r="H8" s="141" cm="1">
        <f t="array" ref="H8">_FV(E8,"52 week low",TRUE)</f>
        <v>118.86</v>
      </c>
      <c r="I8" s="141" cm="1">
        <f t="array" ref="I8">_FV(E8,"P/E",TRUE)</f>
        <v>28.258800000000001</v>
      </c>
      <c r="J8" s="141"/>
      <c r="K8" s="141">
        <v>119.79</v>
      </c>
      <c r="L8" s="141">
        <v>121.61</v>
      </c>
      <c r="M8" s="141">
        <v>129.41999999999999</v>
      </c>
      <c r="N8" s="141">
        <v>130.16</v>
      </c>
      <c r="O8" s="167" t="str">
        <f t="shared" si="0"/>
        <v>No</v>
      </c>
      <c r="P8" s="83"/>
    </row>
    <row r="9" spans="4:19" x14ac:dyDescent="0.25">
      <c r="D9" s="152">
        <v>5</v>
      </c>
      <c r="E9" s="46" t="e" vm="37">
        <v>#VALUE!</v>
      </c>
      <c r="F9" s="141" cm="1">
        <f t="array" ref="F9">_FV(E9,"Price")</f>
        <v>450.01</v>
      </c>
      <c r="G9" s="141" cm="1">
        <f t="array" ref="G9">_FV(E9,"52 week high",TRUE)</f>
        <v>699.54</v>
      </c>
      <c r="H9" s="141" cm="1">
        <f t="array" ref="H9">_FV(E9,"52 week low",TRUE)</f>
        <v>407.94</v>
      </c>
      <c r="I9" s="141" cm="1">
        <f t="array" ref="I9">_FV(E9,"P/E",TRUE)</f>
        <v>44.694400000000002</v>
      </c>
      <c r="J9" s="141"/>
      <c r="K9" s="141">
        <v>435.45</v>
      </c>
      <c r="L9" s="141">
        <v>448.07</v>
      </c>
      <c r="M9" s="141">
        <v>471.11</v>
      </c>
      <c r="N9" s="141">
        <v>477.07</v>
      </c>
      <c r="O9" s="167" t="str">
        <f t="shared" si="0"/>
        <v>No</v>
      </c>
      <c r="P9" s="83"/>
      <c r="S9" s="100"/>
    </row>
    <row r="10" spans="4:19" x14ac:dyDescent="0.25">
      <c r="D10" s="152"/>
      <c r="E10" s="46"/>
      <c r="F10" s="141"/>
      <c r="G10" s="141"/>
      <c r="H10" s="141"/>
      <c r="I10" s="141"/>
      <c r="J10" s="141"/>
      <c r="K10" s="141"/>
      <c r="L10" s="141"/>
      <c r="M10" s="141"/>
      <c r="N10" s="141"/>
      <c r="O10" s="167" t="str">
        <f t="shared" si="0"/>
        <v>No</v>
      </c>
      <c r="P10" s="83"/>
      <c r="S10" s="100"/>
    </row>
    <row r="11" spans="4:19" x14ac:dyDescent="0.25">
      <c r="D11" s="152">
        <v>6</v>
      </c>
      <c r="E11" s="46" t="e" vm="12">
        <v>#VALUE!</v>
      </c>
      <c r="F11" s="141" cm="1">
        <f t="array" ref="F11">_FV(E11,"Price")</f>
        <v>1091.8399999999999</v>
      </c>
      <c r="G11" s="141" cm="1">
        <f t="array" ref="G11">_FV(E11,"52 week high",TRUE)</f>
        <v>1243.49</v>
      </c>
      <c r="H11" s="141" cm="1">
        <f t="array" ref="H11">_FV(E11,"52 week low",TRUE)</f>
        <v>546.98</v>
      </c>
      <c r="I11" s="141" cm="1">
        <f t="array" ref="I11">_FV(E11,"P/E",TRUE)</f>
        <v>221.84569999999999</v>
      </c>
      <c r="J11" s="141"/>
      <c r="K11" s="141">
        <v>624.79999999999995</v>
      </c>
      <c r="L11" s="141">
        <v>653.98</v>
      </c>
      <c r="M11" s="141">
        <v>758.87</v>
      </c>
      <c r="N11" s="141">
        <v>753.41</v>
      </c>
      <c r="O11" s="167" t="str">
        <f t="shared" si="0"/>
        <v>No</v>
      </c>
      <c r="P11" s="83"/>
      <c r="S11" s="100"/>
    </row>
    <row r="12" spans="4:19" x14ac:dyDescent="0.25">
      <c r="D12" s="152">
        <v>7</v>
      </c>
      <c r="E12" s="46" t="e" vm="28">
        <v>#VALUE!</v>
      </c>
      <c r="F12" s="141" cm="1">
        <f t="array" ref="F12">_FV(E12,"Price")</f>
        <v>282.19</v>
      </c>
      <c r="G12" s="141" cm="1">
        <f t="array" ref="G12">_FV(E12,"52 week high",TRUE)</f>
        <v>346.47</v>
      </c>
      <c r="H12" s="141" cm="1">
        <f t="array" ref="H12">_FV(E12,"52 week low",TRUE)</f>
        <v>127</v>
      </c>
      <c r="I12" s="141" cm="1">
        <f t="array" ref="I12">_FV(E12,"P/E",TRUE)</f>
        <v>73.365499999999997</v>
      </c>
      <c r="J12" s="141"/>
      <c r="K12" s="141">
        <v>491.2</v>
      </c>
      <c r="L12" s="141">
        <v>513.79999999999995</v>
      </c>
      <c r="M12" s="141">
        <v>548.70000000000005</v>
      </c>
      <c r="N12" s="141">
        <v>539.41</v>
      </c>
      <c r="O12" s="167" t="str">
        <f t="shared" si="0"/>
        <v>Yes</v>
      </c>
      <c r="P12" s="83"/>
    </row>
    <row r="13" spans="4:19" x14ac:dyDescent="0.25">
      <c r="D13" s="152">
        <v>8</v>
      </c>
      <c r="E13" s="46" t="e" vm="2">
        <v>#VALUE!</v>
      </c>
      <c r="F13" s="141" cm="1">
        <f t="array" ref="F13">_FV(E13,"Price")</f>
        <v>120.24</v>
      </c>
      <c r="G13" s="141" cm="1">
        <f t="array" ref="G13">_FV(E13,"52 week high",TRUE)</f>
        <v>164.4599</v>
      </c>
      <c r="H13" s="141" cm="1">
        <f t="array" ref="H13">_FV(E13,"52 week low",TRUE)</f>
        <v>72.5</v>
      </c>
      <c r="I13" s="141" cm="1">
        <f t="array" ref="I13">_FV(E13,"P/E",TRUE)</f>
        <v>46.713999999999999</v>
      </c>
      <c r="J13" s="141"/>
      <c r="K13" s="141">
        <v>77.25</v>
      </c>
      <c r="L13" s="141">
        <v>80.45</v>
      </c>
      <c r="M13" s="141">
        <v>86.15</v>
      </c>
      <c r="N13" s="141">
        <v>89.56</v>
      </c>
      <c r="O13" s="167" t="str">
        <f t="shared" si="0"/>
        <v>No</v>
      </c>
      <c r="P13" s="83"/>
    </row>
    <row r="14" spans="4:19" x14ac:dyDescent="0.25">
      <c r="D14" s="152">
        <v>9</v>
      </c>
      <c r="E14" s="46" t="e" vm="6">
        <v>#VALUE!</v>
      </c>
      <c r="F14" s="141" cm="1">
        <f t="array" ref="F14">_FV(E14,"Price")</f>
        <v>158.44999999999999</v>
      </c>
      <c r="G14" s="141" cm="1">
        <f t="array" ref="G14">_FV(E14,"52 week high",TRUE)</f>
        <v>193.58</v>
      </c>
      <c r="H14" s="141" cm="1">
        <f t="array" ref="H14">_FV(E14,"52 week low",TRUE)</f>
        <v>122.16500000000001</v>
      </c>
      <c r="I14" s="141" cm="1">
        <f t="array" ref="I14">_FV(E14,"P/E",TRUE)</f>
        <v>18.159500000000001</v>
      </c>
      <c r="J14" s="141"/>
      <c r="K14" s="141"/>
      <c r="L14" s="141"/>
      <c r="M14" s="141"/>
      <c r="N14" s="141"/>
      <c r="O14" s="167" t="str">
        <f t="shared" si="0"/>
        <v>No</v>
      </c>
      <c r="P14" s="83"/>
    </row>
    <row r="15" spans="4:19" x14ac:dyDescent="0.25">
      <c r="D15" s="152">
        <v>10</v>
      </c>
      <c r="E15" s="46" t="e" vm="42">
        <v>#VALUE!</v>
      </c>
      <c r="F15" s="141" cm="1">
        <f t="array" ref="F15">_FV(E15,"Price")</f>
        <v>106.33</v>
      </c>
      <c r="G15" s="141" cm="1">
        <f t="array" ref="G15">_FV(E15,"52 week high",TRUE)</f>
        <v>145</v>
      </c>
      <c r="H15" s="141" cm="1">
        <f t="array" ref="H15">_FV(E15,"52 week low",TRUE)</f>
        <v>97.62</v>
      </c>
      <c r="I15" s="141" cm="1">
        <f t="array" ref="I15">_FV(E15,"P/E",TRUE)</f>
        <v>25.616700000000002</v>
      </c>
      <c r="J15" s="141"/>
      <c r="K15" s="141"/>
      <c r="L15" s="141"/>
      <c r="M15" s="141"/>
      <c r="N15" s="141"/>
      <c r="O15" s="167" t="str">
        <f t="shared" si="0"/>
        <v>No</v>
      </c>
      <c r="P15" s="83"/>
    </row>
    <row r="16" spans="4:19" x14ac:dyDescent="0.25">
      <c r="D16" s="152">
        <v>11</v>
      </c>
      <c r="E16" s="46" t="e" vm="45">
        <v>#VALUE!</v>
      </c>
      <c r="F16" s="141" cm="1">
        <f t="array" ref="F16">_FV(E16,"Price")</f>
        <v>79.86</v>
      </c>
      <c r="G16" s="141" cm="1">
        <f t="array" ref="G16">_FV(E16,"52 week high",TRUE)</f>
        <v>98.45</v>
      </c>
      <c r="H16" s="141" cm="1">
        <f t="array" ref="H16">_FV(E16,"52 week low",TRUE)</f>
        <v>65.67</v>
      </c>
      <c r="I16" s="141" cm="1">
        <f t="array" ref="I16">_FV(E16,"P/E",TRUE)</f>
        <v>12.1791</v>
      </c>
      <c r="J16" s="141"/>
      <c r="K16" s="141"/>
      <c r="L16" s="141"/>
      <c r="M16" s="141"/>
      <c r="N16" s="141"/>
      <c r="O16" s="167" t="str">
        <f t="shared" si="0"/>
        <v>No</v>
      </c>
      <c r="P16" s="83"/>
    </row>
    <row r="17" spans="4:16" x14ac:dyDescent="0.25">
      <c r="D17" s="152">
        <v>12</v>
      </c>
      <c r="E17" s="46" t="e" vm="77">
        <v>#VALUE!</v>
      </c>
      <c r="F17" s="141" cm="1">
        <f t="array" ref="F17">_FV(E17,"Price")</f>
        <v>694.83</v>
      </c>
      <c r="G17" s="141" cm="1">
        <f t="array" ref="G17">_FV(E17,"52 week high",TRUE)</f>
        <v>895.93</v>
      </c>
      <c r="H17" s="141" cm="1">
        <f t="array" ref="H17">_FV(E17,"52 week low",TRUE)</f>
        <v>558.77</v>
      </c>
      <c r="I17" s="141" cm="1">
        <f t="array" ref="I17">_FV(E17,"P/E",TRUE)</f>
        <v>42.564900000000002</v>
      </c>
      <c r="J17" s="141"/>
      <c r="K17" s="141"/>
      <c r="L17" s="141"/>
      <c r="M17" s="141"/>
      <c r="N17" s="141"/>
      <c r="O17" s="167" t="str">
        <f t="shared" si="0"/>
        <v>No</v>
      </c>
      <c r="P17" s="83"/>
    </row>
    <row r="18" spans="4:16" x14ac:dyDescent="0.25">
      <c r="D18" s="152">
        <v>13</v>
      </c>
      <c r="E18" s="46" t="e" vm="4">
        <v>#VALUE!</v>
      </c>
      <c r="F18" s="141" cm="1">
        <f t="array" ref="F18">_FV(E18,"Price")</f>
        <v>51.51</v>
      </c>
      <c r="G18" s="141" cm="1">
        <f t="array" ref="G18">_FV(E18,"52 week high",TRUE)</f>
        <v>68.489999999999995</v>
      </c>
      <c r="H18" s="141" cm="1">
        <f t="array" ref="H18">_FV(E18,"52 week low",TRUE)</f>
        <v>43.625</v>
      </c>
      <c r="I18" s="141" cm="1">
        <f t="array" ref="I18">_FV(E18,"P/E",TRUE)</f>
        <v>10.6038</v>
      </c>
      <c r="J18" s="141"/>
      <c r="K18" s="141">
        <v>60.76</v>
      </c>
      <c r="L18" s="141">
        <v>60.9</v>
      </c>
      <c r="M18" s="141">
        <v>59.82</v>
      </c>
      <c r="N18" s="141">
        <v>55.78</v>
      </c>
      <c r="O18" s="167" t="str">
        <f t="shared" si="0"/>
        <v>Yes</v>
      </c>
      <c r="P18" s="83"/>
    </row>
    <row r="19" spans="4:16" x14ac:dyDescent="0.25">
      <c r="D19" s="165">
        <v>14</v>
      </c>
      <c r="E19" s="151" t="e" vm="25">
        <v>#VALUE!</v>
      </c>
      <c r="F19" s="166" cm="1">
        <f t="array" ref="F19">_FV(E19,"Price")</f>
        <v>69.819999999999993</v>
      </c>
      <c r="G19" s="166" cm="1">
        <f t="array" ref="G19">_FV(E19,"52 week high",TRUE)</f>
        <v>194.99</v>
      </c>
      <c r="H19" s="166" cm="1">
        <f t="array" ref="H19">_FV(E19,"52 week low",TRUE)</f>
        <v>50.08</v>
      </c>
      <c r="I19" s="166" cm="1">
        <f t="array" ref="I19">_FV(E19,"P/E",TRUE)</f>
        <v>0</v>
      </c>
      <c r="J19" s="166"/>
      <c r="K19" s="166"/>
      <c r="L19" s="166"/>
      <c r="M19" s="166"/>
      <c r="N19" s="166"/>
      <c r="O19" s="167" t="str">
        <f t="shared" si="0"/>
        <v>No</v>
      </c>
      <c r="P19" s="83"/>
    </row>
    <row r="20" spans="4:16" ht="13.9" customHeight="1" x14ac:dyDescent="0.25">
      <c r="D20" s="160"/>
      <c r="E20" s="157"/>
      <c r="F20" s="158"/>
      <c r="G20" s="158"/>
      <c r="H20" s="158"/>
      <c r="I20" s="158"/>
      <c r="J20" s="158"/>
      <c r="K20" s="158"/>
      <c r="L20" s="158"/>
      <c r="M20" s="158"/>
      <c r="N20" s="158"/>
      <c r="O20" s="163"/>
      <c r="P20" s="83"/>
    </row>
    <row r="21" spans="4:16" x14ac:dyDescent="0.25">
      <c r="D21" s="159">
        <v>15</v>
      </c>
      <c r="E21" s="51" t="e" vm="35">
        <v>#VALUE!</v>
      </c>
      <c r="F21" s="156" cm="1">
        <f t="array" ref="F21">_FV(E21,"Price")</f>
        <v>21.25</v>
      </c>
      <c r="G21" s="156" cm="1">
        <f t="array" ref="G21">_FV(E21,"52 week high",TRUE)</f>
        <v>72.2</v>
      </c>
      <c r="H21" s="156" cm="1">
        <f t="array" ref="H21">_FV(E21,"52 week low",TRUE)</f>
        <v>17.27</v>
      </c>
      <c r="I21" s="156" t="e" cm="1" vm="84">
        <f t="array" ref="I21">_FV(E21,"P/E",TRUE)</f>
        <v>#VALUE!</v>
      </c>
      <c r="J21" s="156"/>
      <c r="K21" s="156"/>
      <c r="L21" s="156"/>
      <c r="M21" s="156"/>
      <c r="N21" s="156"/>
      <c r="O21" s="167" t="str">
        <f>IF(AND(F21&lt;K21,F21&lt;L21,F21&lt;M21,F21&lt;N21),"Yes","No")</f>
        <v>No</v>
      </c>
      <c r="P21" s="83"/>
    </row>
    <row r="22" spans="4:16" x14ac:dyDescent="0.25">
      <c r="D22" s="152">
        <v>16</v>
      </c>
      <c r="E22" s="46" t="e" vm="85">
        <v>#VALUE!</v>
      </c>
      <c r="F22" s="141" cm="1">
        <f t="array" ref="F22">_FV(E22,"Price")</f>
        <v>17.329999999999998</v>
      </c>
      <c r="G22" s="141" cm="1">
        <f t="array" ref="G22">_FV(E22,"52 week high",TRUE)</f>
        <v>75.150000000000006</v>
      </c>
      <c r="H22" s="141" cm="1">
        <f t="array" ref="H22">_FV(E22,"52 week low",TRUE)</f>
        <v>13.01</v>
      </c>
      <c r="I22" s="141" cm="1">
        <f t="array" ref="I22">_FV(E22,"P/E",TRUE)</f>
        <v>0</v>
      </c>
      <c r="J22" s="141"/>
      <c r="K22" s="141"/>
      <c r="L22" s="141"/>
      <c r="M22" s="141"/>
      <c r="N22" s="141"/>
      <c r="O22" s="167" t="str">
        <f>IF(AND(F22&lt;K22,F22&lt;L22,F22&lt;M22,F22&lt;N22),"Yes","No")</f>
        <v>No</v>
      </c>
      <c r="P22" s="83"/>
    </row>
    <row r="23" spans="4:16" x14ac:dyDescent="0.25">
      <c r="D23" s="152">
        <v>17</v>
      </c>
      <c r="E23" s="46" t="e" vm="86">
        <v>#VALUE!</v>
      </c>
      <c r="F23" s="141" cm="1">
        <f t="array" ref="F23">_FV(E23,"Price")</f>
        <v>39.119999999999997</v>
      </c>
      <c r="G23" s="141" cm="1">
        <f t="array" ref="G23">_FV(E23,"52 week high",TRUE)</f>
        <v>73.34</v>
      </c>
      <c r="H23" s="141" cm="1">
        <f t="array" ref="H23">_FV(E23,"52 week low",TRUE)</f>
        <v>31.3</v>
      </c>
      <c r="I23" s="141" cm="1">
        <f t="array" ref="I23">_FV(E23,"P/E",TRUE)</f>
        <v>0</v>
      </c>
      <c r="J23" s="141"/>
      <c r="K23" s="141"/>
      <c r="L23" s="141"/>
      <c r="M23" s="141"/>
      <c r="N23" s="141"/>
      <c r="O23" s="167" t="str">
        <f>IF(AND(F23&lt;K23,F23&lt;L23,F23&lt;M23,F23&lt;N23),"Yes","No")</f>
        <v>No</v>
      </c>
      <c r="P23" s="83"/>
    </row>
    <row r="24" spans="4:16" x14ac:dyDescent="0.25">
      <c r="D24" s="152">
        <v>18</v>
      </c>
      <c r="E24" s="46" t="e" vm="17">
        <v>#VALUE!</v>
      </c>
      <c r="F24" s="141" cm="1">
        <f t="array" ref="F24">_FV(E24,"Price")</f>
        <v>37.590000000000003</v>
      </c>
      <c r="G24" s="141" cm="1">
        <f t="array" ref="G24">_FV(E24,"52 week high",TRUE)</f>
        <v>65.94</v>
      </c>
      <c r="H24" s="141" cm="1">
        <f t="array" ref="H24">_FV(E24,"52 week low",TRUE)</f>
        <v>33.94</v>
      </c>
      <c r="I24" s="141" t="e" cm="1" vm="84">
        <f t="array" ref="I24">_FV(E24,"P/E",TRUE)</f>
        <v>#VALUE!</v>
      </c>
      <c r="J24" s="141"/>
      <c r="K24" s="141"/>
      <c r="L24" s="141"/>
      <c r="M24" s="141"/>
      <c r="N24" s="141"/>
      <c r="O24" s="167" t="str">
        <f>IF(AND(F24&lt;K24,F24&lt;L24,F24&lt;M24,F24&lt;N24),"Yes","No")</f>
        <v>No</v>
      </c>
      <c r="P24" s="83"/>
    </row>
    <row r="25" spans="4:16" x14ac:dyDescent="0.25">
      <c r="D25" s="152">
        <v>19</v>
      </c>
      <c r="E25" s="46" t="e" vm="80">
        <v>#VALUE!</v>
      </c>
      <c r="F25" s="141" cm="1">
        <f t="array" ref="F25">_FV(E25,"Price")</f>
        <v>34.770000000000003</v>
      </c>
      <c r="G25" s="141" cm="1">
        <f t="array" ref="G25">_FV(E25,"52 week high",TRUE)</f>
        <v>61.5</v>
      </c>
      <c r="H25" s="141" cm="1">
        <f t="array" ref="H25">_FV(E25,"52 week low",TRUE)</f>
        <v>28.277699999999999</v>
      </c>
      <c r="I25" s="141" cm="1">
        <f t="array" ref="I25">_FV(E25,"P/E",TRUE)</f>
        <v>0</v>
      </c>
      <c r="J25" s="141"/>
      <c r="K25" s="141"/>
      <c r="L25" s="141"/>
      <c r="M25" s="141"/>
      <c r="N25" s="141"/>
      <c r="O25" s="167" t="str">
        <f>IF(AND(F25&lt;K25,F25&lt;L25,F25&lt;M25,F25&lt;N25),"Yes","No")</f>
        <v>No</v>
      </c>
      <c r="P25" s="83"/>
    </row>
    <row r="26" spans="4:16" ht="15.75" x14ac:dyDescent="0.25">
      <c r="D26" s="160"/>
      <c r="E26" s="157"/>
      <c r="F26" s="158"/>
      <c r="G26" s="158"/>
      <c r="H26" s="158"/>
      <c r="I26" s="158"/>
      <c r="J26" s="158"/>
      <c r="K26" s="158"/>
      <c r="L26" s="158"/>
      <c r="M26" s="158"/>
      <c r="N26" s="158"/>
      <c r="O26" s="163"/>
      <c r="P26" s="83"/>
    </row>
    <row r="27" spans="4:16" x14ac:dyDescent="0.25">
      <c r="D27" s="152">
        <v>20</v>
      </c>
      <c r="E27" s="46" t="e" vm="3">
        <v>#VALUE!</v>
      </c>
      <c r="F27" s="141" cm="1">
        <f t="array" ref="F27">_FV(E27,"Price")</f>
        <v>138.72</v>
      </c>
      <c r="G27" s="141" cm="1">
        <f t="array" ref="G27">_FV(E27,"52 week high",TRUE)</f>
        <v>191.67</v>
      </c>
      <c r="H27" s="141" cm="1">
        <f t="array" ref="H27">_FV(E27,"52 week low",TRUE)</f>
        <v>128.38</v>
      </c>
      <c r="I27" s="141" cm="1">
        <f t="array" ref="I27">_FV(E27,"P/E",TRUE)</f>
        <v>80.623999999999995</v>
      </c>
      <c r="J27" s="141"/>
      <c r="K27" s="141"/>
      <c r="L27" s="141"/>
      <c r="M27" s="141"/>
      <c r="N27" s="141"/>
      <c r="O27" s="167" t="str">
        <f t="shared" ref="O27:O37" si="1">IF(AND(F27&lt;K27,F27&lt;L27,F27&lt;M27,F27&lt;N27),"Yes","No")</f>
        <v>No</v>
      </c>
      <c r="P27" s="83"/>
    </row>
    <row r="28" spans="4:16" x14ac:dyDescent="0.25">
      <c r="D28" s="152">
        <v>21</v>
      </c>
      <c r="E28" s="46" t="e" vm="23">
        <v>#VALUE!</v>
      </c>
      <c r="F28" s="141" cm="1">
        <f t="array" ref="F28">_FV(E28,"Price")</f>
        <v>128.04</v>
      </c>
      <c r="G28" s="141" cm="1">
        <f t="array" ref="G28">_FV(E28,"52 week high",TRUE)</f>
        <v>148.93</v>
      </c>
      <c r="H28" s="141" cm="1">
        <f t="array" ref="H28">_FV(E28,"52 week low",TRUE)</f>
        <v>117.58</v>
      </c>
      <c r="I28" s="141" cm="1">
        <f t="array" ref="I28">_FV(E28,"P/E",TRUE)</f>
        <v>57.620699999999999</v>
      </c>
      <c r="J28" s="141"/>
      <c r="K28" s="141">
        <v>130.58000000000001</v>
      </c>
      <c r="L28" s="141">
        <v>132.49</v>
      </c>
      <c r="M28" s="141">
        <v>139.75</v>
      </c>
      <c r="N28" s="141">
        <v>140.55000000000001</v>
      </c>
      <c r="O28" s="167" t="str">
        <f t="shared" si="1"/>
        <v>Yes</v>
      </c>
      <c r="P28" s="83"/>
    </row>
    <row r="29" spans="4:16" x14ac:dyDescent="0.25">
      <c r="D29" s="152">
        <v>22</v>
      </c>
      <c r="E29" s="46" t="e" vm="27">
        <v>#VALUE!</v>
      </c>
      <c r="F29" s="141" cm="1">
        <f t="array" ref="F29">_FV(E29,"Price")</f>
        <v>80.010000000000005</v>
      </c>
      <c r="G29" s="141" cm="1">
        <f t="array" ref="G29">_FV(E29,"52 week high",TRUE)</f>
        <v>99.459000000000003</v>
      </c>
      <c r="H29" s="141" cm="1">
        <f t="array" ref="H29">_FV(E29,"52 week low",TRUE)</f>
        <v>56.4</v>
      </c>
      <c r="I29" s="141" cm="1">
        <f t="array" ref="I29">_FV(E29,"P/E",TRUE)</f>
        <v>23.226299999999998</v>
      </c>
      <c r="J29" s="141"/>
      <c r="K29" s="141"/>
      <c r="L29" s="141"/>
      <c r="M29" s="141"/>
      <c r="N29" s="141"/>
      <c r="O29" s="167" t="str">
        <f t="shared" si="1"/>
        <v>No</v>
      </c>
      <c r="P29" s="83"/>
    </row>
    <row r="30" spans="4:16" x14ac:dyDescent="0.25">
      <c r="D30" s="152">
        <v>23</v>
      </c>
      <c r="E30" s="46" t="e" vm="15">
        <v>#VALUE!</v>
      </c>
      <c r="F30" s="141" cm="1">
        <f t="array" ref="F30">_FV(E30,"Price")</f>
        <v>64.8</v>
      </c>
      <c r="G30" s="141" cm="1">
        <f t="array" ref="G30">_FV(E30,"52 week high",TRUE)</f>
        <v>71.708100000000002</v>
      </c>
      <c r="H30" s="141" cm="1">
        <f t="array" ref="H30">_FV(E30,"52 week low",TRUE)</f>
        <v>50.49</v>
      </c>
      <c r="I30" s="141" cm="1">
        <f t="array" ref="I30">_FV(E30,"P/E",TRUE)</f>
        <v>13.729799999999999</v>
      </c>
      <c r="J30" s="141"/>
      <c r="K30" s="141"/>
      <c r="L30" s="141"/>
      <c r="M30" s="141"/>
      <c r="N30" s="141"/>
      <c r="O30" s="167" t="str">
        <f t="shared" si="1"/>
        <v>No</v>
      </c>
      <c r="P30" s="83"/>
    </row>
    <row r="31" spans="4:16" x14ac:dyDescent="0.25">
      <c r="D31" s="152">
        <v>24</v>
      </c>
      <c r="E31" s="46" t="e" vm="87">
        <v>#VALUE!</v>
      </c>
      <c r="F31" s="141" cm="1">
        <f t="array" ref="F31">_FV(E31,"Price")</f>
        <v>158.16</v>
      </c>
      <c r="G31" s="141" cm="1">
        <f t="array" ref="G31">_FV(E31,"52 week high",TRUE)</f>
        <v>168.03899999999999</v>
      </c>
      <c r="H31" s="141" cm="1">
        <f t="array" ref="H31">_FV(E31,"52 week low",TRUE)</f>
        <v>127.94</v>
      </c>
      <c r="I31" s="141" cm="1">
        <f t="array" ref="I31">_FV(E31,"P/E",TRUE)</f>
        <v>36.796999999999997</v>
      </c>
      <c r="J31" s="141"/>
      <c r="K31" s="141"/>
      <c r="L31" s="141"/>
      <c r="M31" s="141"/>
      <c r="N31" s="141"/>
      <c r="O31" s="167" t="str">
        <f t="shared" si="1"/>
        <v>No</v>
      </c>
      <c r="P31" s="83"/>
    </row>
    <row r="32" spans="4:16" x14ac:dyDescent="0.25">
      <c r="D32" s="152">
        <v>25</v>
      </c>
      <c r="E32" s="46" t="e" vm="88">
        <v>#VALUE!</v>
      </c>
      <c r="F32" s="141" cm="1">
        <f t="array" ref="F32">_FV(E32,"Price")</f>
        <v>314.27999999999997</v>
      </c>
      <c r="G32" s="141" cm="1">
        <f t="array" ref="G32">_FV(E32,"52 week high",TRUE)</f>
        <v>420.61</v>
      </c>
      <c r="H32" s="141" cm="1">
        <f t="array" ref="H32">_FV(E32,"52 week low",TRUE)</f>
        <v>298.39999999999998</v>
      </c>
      <c r="I32" s="141" cm="1">
        <f t="array" ref="I32">_FV(E32,"P/E",TRUE)</f>
        <v>20.253699999999998</v>
      </c>
      <c r="J32" s="141"/>
      <c r="K32" s="141"/>
      <c r="L32" s="141"/>
      <c r="M32" s="141"/>
      <c r="N32" s="141"/>
      <c r="O32" s="167" t="str">
        <f t="shared" si="1"/>
        <v>No</v>
      </c>
      <c r="P32" s="83"/>
    </row>
    <row r="33" spans="4:16" x14ac:dyDescent="0.25">
      <c r="D33" s="152">
        <v>26</v>
      </c>
      <c r="E33" s="46" t="e" vm="89">
        <v>#VALUE!</v>
      </c>
      <c r="F33" s="141" cm="1">
        <f t="array" ref="F33">_FV(E33,"Price")</f>
        <v>226.3</v>
      </c>
      <c r="G33" s="141" cm="1">
        <f t="array" ref="G33">_FV(E33,"52 week high",TRUE)</f>
        <v>240.14</v>
      </c>
      <c r="H33" s="141" cm="1">
        <f t="array" ref="H33">_FV(E33,"52 week low",TRUE)</f>
        <v>185.15</v>
      </c>
      <c r="I33" s="141" cm="1">
        <f t="array" ref="I33">_FV(E33,"P/E",TRUE)</f>
        <v>22.261399999999998</v>
      </c>
      <c r="J33" s="141"/>
      <c r="K33" s="141"/>
      <c r="L33" s="141"/>
      <c r="M33" s="141"/>
      <c r="N33" s="141"/>
      <c r="O33" s="167" t="str">
        <f t="shared" si="1"/>
        <v>No</v>
      </c>
      <c r="P33" s="83"/>
    </row>
    <row r="34" spans="4:16" x14ac:dyDescent="0.25">
      <c r="D34" s="152">
        <v>27</v>
      </c>
      <c r="E34" s="46" t="e" vm="90">
        <v>#VALUE!</v>
      </c>
      <c r="F34" s="141" cm="1">
        <f t="array" ref="F34">_FV(E34,"Price")</f>
        <v>146</v>
      </c>
      <c r="G34" s="141" cm="1">
        <f t="array" ref="G34">_FV(E34,"52 week high",TRUE)</f>
        <v>152.57</v>
      </c>
      <c r="H34" s="141" cm="1">
        <f t="array" ref="H34">_FV(E34,"52 week low",TRUE)</f>
        <v>132.01</v>
      </c>
      <c r="I34" s="141" cm="1">
        <f t="array" ref="I34">_FV(E34,"P/E",TRUE)</f>
        <v>29.939</v>
      </c>
      <c r="J34" s="141"/>
      <c r="K34" s="141">
        <v>130.15</v>
      </c>
      <c r="L34" s="141">
        <v>129.72</v>
      </c>
      <c r="M34" s="141">
        <v>137.34</v>
      </c>
      <c r="N34" s="141">
        <v>141.47999999999999</v>
      </c>
      <c r="O34" s="167" t="str">
        <f t="shared" si="1"/>
        <v>No</v>
      </c>
      <c r="P34" s="83"/>
    </row>
    <row r="35" spans="4:16" x14ac:dyDescent="0.25">
      <c r="D35" s="152">
        <v>28</v>
      </c>
      <c r="E35" s="46" t="e" vm="91">
        <v>#VALUE!</v>
      </c>
      <c r="F35" s="141" cm="1">
        <f t="array" ref="F35">_FV(E35,"Price")</f>
        <v>98.11</v>
      </c>
      <c r="G35" s="141" cm="1">
        <f t="array" ref="G35">_FV(E35,"52 week high",TRUE)</f>
        <v>210</v>
      </c>
      <c r="H35" s="141" cm="1">
        <f t="array" ref="H35">_FV(E35,"52 week low",TRUE)</f>
        <v>73.12</v>
      </c>
      <c r="I35" s="141" cm="1">
        <f t="array" ref="I35">_FV(E35,"P/E",TRUE)</f>
        <v>0</v>
      </c>
      <c r="J35" s="141"/>
      <c r="K35" s="141"/>
      <c r="L35" s="141"/>
      <c r="M35" s="141"/>
      <c r="N35" s="141"/>
      <c r="O35" s="167" t="str">
        <f t="shared" si="1"/>
        <v>No</v>
      </c>
      <c r="P35" s="83"/>
    </row>
    <row r="36" spans="4:16" x14ac:dyDescent="0.25">
      <c r="D36" s="152">
        <v>29</v>
      </c>
      <c r="E36" s="46" t="e" vm="47">
        <v>#VALUE!</v>
      </c>
      <c r="F36" s="141" cm="1">
        <f t="array" ref="F36">_FV(E36,"Price")</f>
        <v>156.5</v>
      </c>
      <c r="G36" s="141" cm="1">
        <f t="array" ref="G36">_FV(E36,"52 week high",TRUE)</f>
        <v>195.82499999999999</v>
      </c>
      <c r="H36" s="141" cm="1">
        <f t="array" ref="H36">_FV(E36,"52 week low",TRUE)</f>
        <v>133.54</v>
      </c>
      <c r="I36" s="141" cm="1">
        <f t="array" ref="I36">_FV(E36,"P/E",TRUE)</f>
        <v>34.713799999999999</v>
      </c>
      <c r="J36" s="141"/>
      <c r="K36" s="141"/>
      <c r="L36" s="141"/>
      <c r="M36" s="141"/>
      <c r="N36" s="141"/>
      <c r="O36" s="167" t="str">
        <f t="shared" si="1"/>
        <v>No</v>
      </c>
      <c r="P36" s="83"/>
    </row>
    <row r="37" spans="4:16" x14ac:dyDescent="0.25">
      <c r="D37" s="152">
        <v>30</v>
      </c>
      <c r="E37" s="46" t="e" vm="19">
        <v>#VALUE!</v>
      </c>
      <c r="F37" s="141" cm="1">
        <f t="array" ref="F37">_FV(E37,"Price")</f>
        <v>23.87</v>
      </c>
      <c r="G37" s="141" cm="1">
        <f t="array" ref="G37">_FV(E37,"52 week high",TRUE)</f>
        <v>33.880000000000003</v>
      </c>
      <c r="H37" s="141" cm="1">
        <f t="array" ref="H37">_FV(E37,"52 week low",TRUE)</f>
        <v>22.02</v>
      </c>
      <c r="I37" s="141" cm="1">
        <f t="array" ref="I37">_FV(E37,"P/E",TRUE)</f>
        <v>8.6349</v>
      </c>
      <c r="J37" s="141"/>
      <c r="K37" s="141"/>
      <c r="L37" s="141"/>
      <c r="M37" s="141"/>
      <c r="N37" s="141"/>
      <c r="O37" s="167" t="str">
        <f t="shared" si="1"/>
        <v>No</v>
      </c>
      <c r="P37" s="83"/>
    </row>
    <row r="38" spans="4:16" x14ac:dyDescent="0.25">
      <c r="D38" s="152">
        <v>31</v>
      </c>
      <c r="E38" s="46" t="e" vm="88">
        <v>#VALUE!</v>
      </c>
      <c r="F38" s="141" cm="1">
        <f t="array" ref="F38">_FV(E38,"Price")</f>
        <v>314.27999999999997</v>
      </c>
      <c r="G38" s="141" cm="1">
        <f t="array" ref="G38">_FV(E38,"52 week high",TRUE)</f>
        <v>420.61</v>
      </c>
      <c r="H38" s="141" cm="1">
        <f t="array" ref="H38">_FV(E38,"52 week low",TRUE)</f>
        <v>298.39999999999998</v>
      </c>
      <c r="I38" s="141" cm="1">
        <f t="array" ref="I38">_FV(E38,"P/E",TRUE)</f>
        <v>20.253699999999998</v>
      </c>
      <c r="J38" s="141"/>
      <c r="K38" s="141">
        <v>257.64999999999998</v>
      </c>
      <c r="L38" s="141">
        <v>257.3</v>
      </c>
      <c r="M38" s="141">
        <v>268.26</v>
      </c>
      <c r="N38" s="141">
        <v>268.89999999999998</v>
      </c>
      <c r="O38" s="167" t="str">
        <f t="shared" ref="O38" si="2">IF(AND(F38&lt;K38,F38&lt;L38,F38&lt;M38,F38&lt;N38),"Yes","No")</f>
        <v>No</v>
      </c>
      <c r="P38" s="83"/>
    </row>
    <row r="39" spans="4:16" ht="15.75" x14ac:dyDescent="0.25">
      <c r="D39" s="160"/>
      <c r="E39" s="157"/>
      <c r="F39" s="158"/>
      <c r="G39" s="158"/>
      <c r="H39" s="158"/>
      <c r="I39" s="158"/>
      <c r="J39" s="158"/>
      <c r="K39" s="158"/>
      <c r="L39" s="158"/>
      <c r="M39" s="158"/>
      <c r="N39" s="158"/>
      <c r="O39" s="163"/>
      <c r="P39" s="83"/>
    </row>
    <row r="40" spans="4:16" x14ac:dyDescent="0.25">
      <c r="D40" s="152">
        <v>31</v>
      </c>
      <c r="E40" s="46" t="e" vm="14">
        <v>#VALUE!</v>
      </c>
      <c r="F40" s="141" cm="1">
        <f t="array" ref="F40">_FV(E40,"Price")</f>
        <v>115.09</v>
      </c>
      <c r="G40" s="141" cm="1">
        <f t="array" ref="G40">_FV(E40,"52 week high",TRUE)</f>
        <v>245.69</v>
      </c>
      <c r="H40" s="141" cm="1">
        <f t="array" ref="H40">_FV(E40,"52 week low",TRUE)</f>
        <v>73.28</v>
      </c>
      <c r="I40" s="141" cm="1">
        <f t="array" ref="I40">_FV(E40,"P/E",TRUE)</f>
        <v>30.642099999999999</v>
      </c>
      <c r="J40" s="141"/>
      <c r="K40" s="141">
        <v>232.7</v>
      </c>
      <c r="L40" s="141">
        <v>235.38</v>
      </c>
      <c r="M40" s="141">
        <v>253.47</v>
      </c>
      <c r="N40" s="141">
        <v>249.78</v>
      </c>
      <c r="O40" s="167" t="str">
        <f t="shared" ref="O40:O56" si="3">IF(AND(F40&lt;K40,F40&lt;L40,F40&lt;M40,F40&lt;N40),"Yes","No")</f>
        <v>Yes</v>
      </c>
      <c r="P40" s="83"/>
    </row>
    <row r="41" spans="4:16" x14ac:dyDescent="0.25">
      <c r="D41" s="152">
        <v>32</v>
      </c>
      <c r="E41" s="46" t="e" vm="40">
        <v>#VALUE!</v>
      </c>
      <c r="F41" s="141" cm="1">
        <f t="array" ref="F41">_FV(E41,"Price")</f>
        <v>59.77</v>
      </c>
      <c r="G41" s="141" cm="1">
        <f t="array" ref="G41">_FV(E41,"52 week high",TRUE)</f>
        <v>92.69</v>
      </c>
      <c r="H41" s="141" cm="1">
        <f t="array" ref="H41">_FV(E41,"52 week low",TRUE)</f>
        <v>41.56</v>
      </c>
      <c r="I41" s="141" cm="1">
        <f t="array" ref="I41">_FV(E41,"P/E",TRUE)</f>
        <v>24.939399999999999</v>
      </c>
      <c r="J41" s="141"/>
      <c r="K41" s="141">
        <v>89.12</v>
      </c>
      <c r="L41" s="141">
        <v>92.08</v>
      </c>
      <c r="M41" s="141">
        <v>95.61</v>
      </c>
      <c r="N41" s="141">
        <v>91.71</v>
      </c>
      <c r="O41" s="167" t="str">
        <f t="shared" si="3"/>
        <v>Yes</v>
      </c>
      <c r="P41" s="83"/>
    </row>
    <row r="42" spans="4:16" x14ac:dyDescent="0.25">
      <c r="D42" s="152">
        <v>33</v>
      </c>
      <c r="E42" s="46" t="e" vm="50">
        <v>#VALUE!</v>
      </c>
      <c r="F42" s="141" cm="1">
        <f t="array" ref="F42">_FV(E42,"Price")</f>
        <v>43.67</v>
      </c>
      <c r="G42" s="141" cm="1">
        <f t="array" ref="G42">_FV(E42,"52 week high",TRUE)</f>
        <v>152.06</v>
      </c>
      <c r="H42" s="141" cm="1">
        <f t="array" ref="H42">_FV(E42,"52 week low",TRUE)</f>
        <v>23.21</v>
      </c>
      <c r="I42" s="141" cm="1">
        <f t="array" ref="I42">_FV(E42,"P/E",TRUE)</f>
        <v>53.711100000000002</v>
      </c>
      <c r="J42" s="141"/>
      <c r="K42" s="141"/>
      <c r="L42" s="141"/>
      <c r="M42" s="141"/>
      <c r="N42" s="141"/>
      <c r="O42" s="167" t="str">
        <f t="shared" si="3"/>
        <v>No</v>
      </c>
      <c r="P42" s="83"/>
    </row>
    <row r="43" spans="4:16" x14ac:dyDescent="0.25">
      <c r="D43" s="152">
        <v>34</v>
      </c>
      <c r="E43" s="46" t="e" vm="64">
        <v>#VALUE!</v>
      </c>
      <c r="F43" s="141" cm="1">
        <f t="array" ref="F43">_FV(E43,"Price")</f>
        <v>23.45</v>
      </c>
      <c r="G43" s="141" cm="1">
        <f t="array" ref="G43">_FV(E43,"52 week high",TRUE)</f>
        <v>42.04</v>
      </c>
      <c r="H43" s="141" cm="1">
        <f t="array" ref="H43">_FV(E43,"52 week low",TRUE)</f>
        <v>14.29</v>
      </c>
      <c r="I43" s="141" cm="1">
        <f t="array" ref="I43">_FV(E43,"P/E",TRUE)</f>
        <v>25.7941</v>
      </c>
      <c r="J43" s="141"/>
      <c r="K43" s="141"/>
      <c r="L43" s="141"/>
      <c r="M43" s="141"/>
      <c r="N43" s="141"/>
      <c r="O43" s="167" t="str">
        <f t="shared" si="3"/>
        <v>No</v>
      </c>
      <c r="P43" s="83"/>
    </row>
    <row r="44" spans="4:16" x14ac:dyDescent="0.25">
      <c r="D44" s="152">
        <v>35</v>
      </c>
      <c r="E44" s="46" t="e" vm="18">
        <v>#VALUE!</v>
      </c>
      <c r="F44" s="141" cm="1">
        <f t="array" ref="F44">_FV(E44,"Price")</f>
        <v>6</v>
      </c>
      <c r="G44" s="141" cm="1">
        <f t="array" ref="G44">_FV(E44,"52 week high",TRUE)</f>
        <v>14.97</v>
      </c>
      <c r="H44" s="141" cm="1">
        <f t="array" ref="H44">_FV(E44,"52 week low",TRUE)</f>
        <v>4.085</v>
      </c>
      <c r="I44" s="141" cm="1">
        <f t="array" ref="I44">_FV(E44,"P/E",TRUE)</f>
        <v>5.5602999999999998</v>
      </c>
      <c r="J44" s="141"/>
      <c r="K44" s="141"/>
      <c r="L44" s="141"/>
      <c r="M44" s="141"/>
      <c r="N44" s="141"/>
      <c r="O44" s="167" t="str">
        <f t="shared" si="3"/>
        <v>No</v>
      </c>
      <c r="P44" s="83"/>
    </row>
    <row r="45" spans="4:16" x14ac:dyDescent="0.25">
      <c r="D45" s="152">
        <v>36</v>
      </c>
      <c r="E45" s="46" t="e" vm="92">
        <v>#VALUE!</v>
      </c>
      <c r="F45" s="141" cm="1">
        <f t="array" ref="F45">_FV(E45,"Price")</f>
        <v>1.97</v>
      </c>
      <c r="G45" s="141" cm="1">
        <f t="array" ref="G45">_FV(E45,"52 week high",TRUE)</f>
        <v>39.01</v>
      </c>
      <c r="H45" s="141" cm="1">
        <f t="array" ref="H45">_FV(E45,"52 week low",TRUE)</f>
        <v>1.2621</v>
      </c>
      <c r="I45" s="141" cm="1">
        <f t="array" ref="I45">_FV(E45,"P/E",TRUE)</f>
        <v>0</v>
      </c>
      <c r="J45" s="141"/>
      <c r="K45" s="141"/>
      <c r="L45" s="141"/>
      <c r="M45" s="141"/>
      <c r="N45" s="141"/>
      <c r="O45" s="167" t="str">
        <f t="shared" si="3"/>
        <v>No</v>
      </c>
      <c r="P45" s="83"/>
    </row>
    <row r="46" spans="4:16" x14ac:dyDescent="0.25">
      <c r="D46" s="152">
        <v>37</v>
      </c>
      <c r="E46" s="46" t="e" vm="38">
        <v>#VALUE!</v>
      </c>
      <c r="F46" s="141" cm="1">
        <f t="array" ref="F46">_FV(E46,"Price")</f>
        <v>147.44999999999999</v>
      </c>
      <c r="G46" s="141" cm="1">
        <f t="array" ref="G46">_FV(E46,"52 week high",TRUE)</f>
        <v>228.53</v>
      </c>
      <c r="H46" s="141" cm="1">
        <f t="array" ref="H46">_FV(E46,"52 week low",TRUE)</f>
        <v>102.18</v>
      </c>
      <c r="I46" s="141" cm="1">
        <f t="array" ref="I46">_FV(E46,"P/E",TRUE)</f>
        <v>31.8459</v>
      </c>
      <c r="J46" s="141"/>
      <c r="K46" s="141"/>
      <c r="L46" s="141"/>
      <c r="M46" s="141"/>
      <c r="N46" s="141"/>
      <c r="O46" s="167" t="str">
        <f t="shared" si="3"/>
        <v>No</v>
      </c>
      <c r="P46" s="83"/>
    </row>
    <row r="47" spans="4:16" x14ac:dyDescent="0.25">
      <c r="D47" s="152">
        <v>38</v>
      </c>
      <c r="E47" s="46" t="e" vm="24">
        <v>#VALUE!</v>
      </c>
      <c r="F47" s="141" cm="1">
        <f t="array" ref="F47">_FV(E47,"Price")</f>
        <v>93.82</v>
      </c>
      <c r="G47" s="141" cm="1">
        <f t="array" ref="G47">_FV(E47,"52 week high",TRUE)</f>
        <v>120.84</v>
      </c>
      <c r="H47" s="141" cm="1">
        <f t="array" ref="H47">_FV(E47,"52 week low",TRUE)</f>
        <v>68.62</v>
      </c>
      <c r="I47" s="141" cm="1">
        <f t="array" ref="I47">_FV(E47,"P/E",TRUE)</f>
        <v>24.200900000000001</v>
      </c>
      <c r="J47" s="141"/>
      <c r="K47" s="141"/>
      <c r="L47" s="141"/>
      <c r="M47" s="141"/>
      <c r="N47" s="141"/>
      <c r="O47" s="167" t="str">
        <f t="shared" si="3"/>
        <v>No</v>
      </c>
      <c r="P47" s="83"/>
    </row>
    <row r="48" spans="4:16" x14ac:dyDescent="0.25">
      <c r="D48" s="152">
        <v>39</v>
      </c>
      <c r="E48" s="46" t="e" vm="66">
        <v>#VALUE!</v>
      </c>
      <c r="F48" s="141" cm="1">
        <f t="array" ref="F48">_FV(E48,"Price")</f>
        <v>12.31</v>
      </c>
      <c r="G48" s="141" cm="1">
        <f t="array" ref="G48">_FV(E48,"52 week high",TRUE)</f>
        <v>62.2</v>
      </c>
      <c r="H48" s="141" cm="1">
        <f t="array" ref="H48">_FV(E48,"52 week low",TRUE)</f>
        <v>7.31</v>
      </c>
      <c r="I48" s="141" cm="1">
        <f t="array" ref="I48">_FV(E48,"P/E",TRUE)</f>
        <v>0</v>
      </c>
      <c r="J48" s="141"/>
      <c r="K48" s="141"/>
      <c r="L48" s="141"/>
      <c r="M48" s="141"/>
      <c r="N48" s="141"/>
      <c r="O48" s="167" t="str">
        <f t="shared" si="3"/>
        <v>No</v>
      </c>
      <c r="P48" s="83"/>
    </row>
    <row r="49" spans="4:16" x14ac:dyDescent="0.25">
      <c r="D49" s="152">
        <v>40</v>
      </c>
      <c r="E49" s="46" t="e" vm="29">
        <v>#VALUE!</v>
      </c>
      <c r="F49" s="141" cm="1">
        <f t="array" ref="F49">_FV(E49,"Price")</f>
        <v>21.21</v>
      </c>
      <c r="G49" s="141" cm="1">
        <f t="array" ref="G49">_FV(E49,"52 week high",TRUE)</f>
        <v>55.13</v>
      </c>
      <c r="H49" s="141" cm="1">
        <f t="array" ref="H49">_FV(E49,"52 week low",TRUE)</f>
        <v>13.01</v>
      </c>
      <c r="I49" s="141" cm="1">
        <f t="array" ref="I49">_FV(E49,"P/E",TRUE)</f>
        <v>0</v>
      </c>
      <c r="J49" s="141"/>
      <c r="K49" s="141"/>
      <c r="L49" s="141"/>
      <c r="M49" s="141"/>
      <c r="N49" s="141"/>
      <c r="O49" s="167" t="str">
        <f t="shared" si="3"/>
        <v>No</v>
      </c>
      <c r="P49" s="83"/>
    </row>
    <row r="50" spans="4:16" x14ac:dyDescent="0.25">
      <c r="D50" s="152">
        <v>41</v>
      </c>
      <c r="E50" s="46" t="e" vm="11">
        <v>#VALUE!</v>
      </c>
      <c r="F50" s="141" cm="1">
        <f t="array" ref="F50">_FV(E50,"Price")</f>
        <v>26.48</v>
      </c>
      <c r="G50" s="141" cm="1">
        <f t="array" ref="G50">_FV(E50,"52 week high",TRUE)</f>
        <v>37.450000000000003</v>
      </c>
      <c r="H50" s="141" cm="1">
        <f t="array" ref="H50">_FV(E50,"52 week low",TRUE)</f>
        <v>15.98</v>
      </c>
      <c r="I50" s="141" t="e" cm="1" vm="84">
        <f t="array" ref="I50">_FV(E50,"P/E",TRUE)</f>
        <v>#VALUE!</v>
      </c>
      <c r="J50" s="141"/>
      <c r="K50" s="141"/>
      <c r="L50" s="141"/>
      <c r="M50" s="141"/>
      <c r="N50" s="141"/>
      <c r="O50" s="167" t="str">
        <f t="shared" si="3"/>
        <v>No</v>
      </c>
      <c r="P50" s="83"/>
    </row>
    <row r="51" spans="4:16" x14ac:dyDescent="0.25">
      <c r="D51" s="152">
        <v>42</v>
      </c>
      <c r="E51" s="46" t="e" vm="16">
        <v>#VALUE!</v>
      </c>
      <c r="F51" s="141" cm="1">
        <f t="array" ref="F51">_FV(E51,"Price")</f>
        <v>27.13</v>
      </c>
      <c r="G51" s="141" cm="1">
        <f t="array" ref="G51">_FV(E51,"52 week high",TRUE)</f>
        <v>56.45</v>
      </c>
      <c r="H51" s="141" cm="1">
        <f t="array" ref="H51">_FV(E51,"52 week low",TRUE)</f>
        <v>18.010000000000002</v>
      </c>
      <c r="I51" s="141" cm="1">
        <f t="array" ref="I51">_FV(E51,"P/E",TRUE)</f>
        <v>0</v>
      </c>
      <c r="J51" s="141"/>
      <c r="K51" s="141"/>
      <c r="L51" s="141"/>
      <c r="M51" s="141"/>
      <c r="N51" s="141"/>
      <c r="O51" s="167" t="str">
        <f t="shared" si="3"/>
        <v>No</v>
      </c>
      <c r="P51" s="83"/>
    </row>
    <row r="52" spans="4:16" x14ac:dyDescent="0.25">
      <c r="D52" s="152">
        <v>43</v>
      </c>
      <c r="E52" s="46" t="e" vm="93">
        <v>#VALUE!</v>
      </c>
      <c r="F52" s="141" cm="1">
        <f t="array" ref="F52">_FV(E52,"Price")</f>
        <v>9.94</v>
      </c>
      <c r="G52" s="141" cm="1">
        <f t="array" ref="G52">_FV(E52,"52 week high",TRUE)</f>
        <v>39.39</v>
      </c>
      <c r="H52" s="141" cm="1">
        <f t="array" ref="H52">_FV(E52,"52 week low",TRUE)</f>
        <v>7.4946999999999999</v>
      </c>
      <c r="I52" s="141" t="e" cm="1" vm="84">
        <f t="array" ref="I52">_FV(E52,"P/E",TRUE)</f>
        <v>#VALUE!</v>
      </c>
      <c r="J52" s="141"/>
      <c r="K52" s="141"/>
      <c r="L52" s="141"/>
      <c r="M52" s="141"/>
      <c r="N52" s="141"/>
      <c r="O52" s="167" t="str">
        <f t="shared" si="3"/>
        <v>No</v>
      </c>
      <c r="P52" s="83"/>
    </row>
    <row r="53" spans="4:16" x14ac:dyDescent="0.25">
      <c r="D53" s="152">
        <v>44</v>
      </c>
      <c r="E53" s="46" t="e" vm="41">
        <v>#VALUE!</v>
      </c>
      <c r="F53" s="141" cm="1">
        <f t="array" ref="F53">_FV(E53,"Price")</f>
        <v>28.54</v>
      </c>
      <c r="G53" s="141" cm="1">
        <f t="array" ref="G53">_FV(E53,"52 week high",TRUE)</f>
        <v>129.24</v>
      </c>
      <c r="H53" s="141" cm="1">
        <f t="array" ref="H53">_FV(E53,"52 week low",TRUE)</f>
        <v>14.93</v>
      </c>
      <c r="I53" s="141" t="e" cm="1" vm="84">
        <f t="array" ref="I53">_FV(E53,"P/E",TRUE)</f>
        <v>#VALUE!</v>
      </c>
      <c r="J53" s="141"/>
      <c r="K53" s="141"/>
      <c r="L53" s="141"/>
      <c r="M53" s="141"/>
      <c r="N53" s="141"/>
      <c r="O53" s="167" t="str">
        <f t="shared" si="3"/>
        <v>No</v>
      </c>
      <c r="P53" s="83"/>
    </row>
    <row r="54" spans="4:16" x14ac:dyDescent="0.25">
      <c r="D54" s="152">
        <v>45</v>
      </c>
      <c r="E54" s="46" t="e" vm="26">
        <v>#VALUE!</v>
      </c>
      <c r="F54" s="141" cm="1">
        <f t="array" ref="F54">_FV(E54,"Price")</f>
        <v>5.25</v>
      </c>
      <c r="G54" s="141" cm="1">
        <f t="array" ref="G54">_FV(E54,"52 week high",TRUE)</f>
        <v>20.9</v>
      </c>
      <c r="H54" s="141" cm="1">
        <f t="array" ref="H54">_FV(E54,"52 week low",TRUE)</f>
        <v>3.23</v>
      </c>
      <c r="I54" s="141" cm="1">
        <f t="array" ref="I54">_FV(E54,"P/E",TRUE)</f>
        <v>13.895200000000001</v>
      </c>
      <c r="J54" s="141"/>
      <c r="K54" s="141"/>
      <c r="L54" s="141"/>
      <c r="M54" s="141"/>
      <c r="N54" s="141"/>
      <c r="O54" s="167" t="str">
        <f t="shared" si="3"/>
        <v>No</v>
      </c>
      <c r="P54" s="83"/>
    </row>
    <row r="55" spans="4:16" x14ac:dyDescent="0.25">
      <c r="D55" s="152">
        <v>46</v>
      </c>
      <c r="E55" s="46" t="e" vm="94">
        <v>#VALUE!</v>
      </c>
      <c r="F55" s="141" cm="1">
        <f t="array" ref="F55">_FV(E55,"Price")</f>
        <v>2.1800000000000002</v>
      </c>
      <c r="G55" s="141" cm="1">
        <f t="array" ref="G55">_FV(E55,"52 week high",TRUE)</f>
        <v>10.89</v>
      </c>
      <c r="H55" s="141" cm="1">
        <f t="array" ref="H55">_FV(E55,"52 week low",TRUE)</f>
        <v>1.2350000000000001</v>
      </c>
      <c r="I55" s="141" cm="1">
        <f t="array" ref="I55">_FV(E55,"P/E",TRUE)</f>
        <v>52.992600000000003</v>
      </c>
      <c r="J55" s="141"/>
      <c r="K55" s="141"/>
      <c r="L55" s="141"/>
      <c r="M55" s="141"/>
      <c r="N55" s="141"/>
      <c r="O55" s="167" t="str">
        <f t="shared" si="3"/>
        <v>No</v>
      </c>
      <c r="P55" s="83"/>
    </row>
    <row r="56" spans="4:16" x14ac:dyDescent="0.25">
      <c r="D56" s="152">
        <v>47</v>
      </c>
      <c r="E56" s="46" t="e" vm="57">
        <v>#VALUE!</v>
      </c>
      <c r="F56" s="141" cm="1">
        <f t="array" ref="F56">_FV(E56,"Price")</f>
        <v>27.68</v>
      </c>
      <c r="G56" s="141" cm="1">
        <f t="array" ref="G56">_FV(E56,"52 week high",TRUE)</f>
        <v>44.93</v>
      </c>
      <c r="H56" s="141" cm="1">
        <f t="array" ref="H56">_FV(E56,"52 week low",TRUE)</f>
        <v>25.35</v>
      </c>
      <c r="I56" s="141" cm="1">
        <f t="array" ref="I56">_FV(E56,"P/E",TRUE)</f>
        <v>7.4844999999999997</v>
      </c>
      <c r="J56" s="141"/>
      <c r="K56" s="141"/>
      <c r="L56" s="141"/>
      <c r="M56" s="141"/>
      <c r="N56" s="141"/>
      <c r="O56" s="167" t="str">
        <f t="shared" si="3"/>
        <v>No</v>
      </c>
      <c r="P56" s="83"/>
    </row>
    <row r="57" spans="4:16" ht="15.75" x14ac:dyDescent="0.25">
      <c r="D57" s="160"/>
      <c r="E57" s="157"/>
      <c r="F57" s="158"/>
      <c r="G57" s="158"/>
      <c r="H57" s="158"/>
      <c r="I57" s="158"/>
      <c r="J57" s="158"/>
      <c r="K57" s="158"/>
      <c r="L57" s="158"/>
      <c r="M57" s="158"/>
      <c r="N57" s="158"/>
      <c r="O57" s="163"/>
      <c r="P57" s="83"/>
    </row>
    <row r="58" spans="4:16" x14ac:dyDescent="0.25">
      <c r="D58" s="152">
        <v>48</v>
      </c>
      <c r="E58" s="46" t="e" vm="95">
        <v>#VALUE!</v>
      </c>
      <c r="F58" s="141" cm="1">
        <f t="array" ref="F58">_FV(E58,"Price")</f>
        <v>44.42</v>
      </c>
      <c r="G58" s="141" cm="1">
        <f t="array" ref="G58">_FV(E58,"52 week high",TRUE)</f>
        <v>64.75</v>
      </c>
      <c r="H58" s="141" cm="1">
        <f t="array" ref="H58">_FV(E58,"52 week low",TRUE)</f>
        <v>36.75</v>
      </c>
      <c r="I58" s="141" cm="1">
        <f t="array" ref="I58">_FV(E58,"P/E",TRUE)</f>
        <v>27.705400000000001</v>
      </c>
      <c r="J58" s="141"/>
      <c r="K58" s="141"/>
      <c r="L58" s="141"/>
      <c r="M58" s="141"/>
      <c r="N58" s="141"/>
      <c r="O58" s="167" t="str">
        <f t="shared" ref="O58:O69" si="4">IF(AND(F58&lt;K58,F58&lt;L58,F58&lt;M58,F58&lt;N58),"Yes","No")</f>
        <v>No</v>
      </c>
      <c r="P58" s="83"/>
    </row>
    <row r="59" spans="4:16" x14ac:dyDescent="0.25">
      <c r="D59" s="152">
        <v>49</v>
      </c>
      <c r="E59" s="46" t="e" vm="96">
        <v>#VALUE!</v>
      </c>
      <c r="F59" s="141" cm="1">
        <f t="array" ref="F59">_FV(E59,"Price")</f>
        <v>17.3</v>
      </c>
      <c r="G59" s="141" cm="1">
        <f t="array" ref="G59">_FV(E59,"52 week high",TRUE)</f>
        <v>26.04</v>
      </c>
      <c r="H59" s="141" cm="1">
        <f t="array" ref="H59">_FV(E59,"52 week low",TRUE)</f>
        <v>12.440099999999999</v>
      </c>
      <c r="I59" s="141" cm="1">
        <f t="array" ref="I59">_FV(E59,"P/E",TRUE)</f>
        <v>3.3195999999999999</v>
      </c>
      <c r="J59" s="141"/>
      <c r="K59" s="141"/>
      <c r="L59" s="141"/>
      <c r="M59" s="141"/>
      <c r="N59" s="141"/>
      <c r="O59" s="167" t="str">
        <f t="shared" si="4"/>
        <v>No</v>
      </c>
      <c r="P59" s="83"/>
    </row>
    <row r="60" spans="4:16" x14ac:dyDescent="0.25">
      <c r="D60" s="152">
        <v>50</v>
      </c>
      <c r="E60" s="46" t="e" vm="97">
        <v>#VALUE!</v>
      </c>
      <c r="F60" s="141" cm="1">
        <f t="array" ref="F60">_FV(E60,"Price")</f>
        <v>38.340000000000003</v>
      </c>
      <c r="G60" s="141" cm="1">
        <f t="array" ref="G60">_FV(E60,"52 week high",TRUE)</f>
        <v>51.82</v>
      </c>
      <c r="H60" s="141" cm="1">
        <f t="array" ref="H60">_FV(E60,"52 week low",TRUE)</f>
        <v>29.75</v>
      </c>
      <c r="I60" s="141" cm="1">
        <f t="array" ref="I60">_FV(E60,"P/E",TRUE)</f>
        <v>92.555000000000007</v>
      </c>
      <c r="J60" s="141"/>
      <c r="K60" s="141"/>
      <c r="L60" s="141"/>
      <c r="M60" s="141"/>
      <c r="N60" s="141"/>
      <c r="O60" s="167" t="str">
        <f t="shared" si="4"/>
        <v>No</v>
      </c>
      <c r="P60" s="83"/>
    </row>
    <row r="61" spans="4:16" x14ac:dyDescent="0.25">
      <c r="D61" s="152">
        <v>51</v>
      </c>
      <c r="E61" s="46" t="e" vm="98">
        <v>#VALUE!</v>
      </c>
      <c r="F61" s="141" cm="1">
        <f t="array" ref="F61">_FV(E61,"Price")</f>
        <v>43.86</v>
      </c>
      <c r="G61" s="141" cm="1">
        <f t="array" ref="G61">_FV(E61,"52 week high",TRUE)</f>
        <v>61.3399</v>
      </c>
      <c r="H61" s="141" cm="1">
        <f t="array" ref="H61">_FV(E61,"52 week low",TRUE)</f>
        <v>30.54</v>
      </c>
      <c r="I61" s="141" cm="1">
        <f t="array" ref="I61">_FV(E61,"P/E",TRUE)</f>
        <v>8.7719000000000005</v>
      </c>
      <c r="J61" s="141"/>
      <c r="K61" s="141"/>
      <c r="L61" s="141"/>
      <c r="M61" s="141"/>
      <c r="N61" s="141"/>
      <c r="O61" s="167" t="str">
        <f t="shared" si="4"/>
        <v>No</v>
      </c>
      <c r="P61" s="83"/>
    </row>
    <row r="62" spans="4:16" x14ac:dyDescent="0.25">
      <c r="D62" s="152">
        <v>52</v>
      </c>
      <c r="E62" s="46" t="e" vm="99">
        <v>#VALUE!</v>
      </c>
      <c r="F62" s="141" cm="1">
        <f t="array" ref="F62">_FV(E62,"Price")</f>
        <v>188.16</v>
      </c>
      <c r="G62" s="141" cm="1">
        <f t="array" ref="G62">_FV(E62,"52 week high",TRUE)</f>
        <v>260.48</v>
      </c>
      <c r="H62" s="141" cm="1">
        <f t="array" ref="H62">_FV(E62,"52 week low",TRUE)</f>
        <v>167.58</v>
      </c>
      <c r="I62" s="141" cm="1">
        <f t="array" ref="I62">_FV(E62,"P/E",TRUE)</f>
        <v>0</v>
      </c>
      <c r="J62" s="141"/>
      <c r="K62" s="141"/>
      <c r="L62" s="141"/>
      <c r="M62" s="141"/>
      <c r="N62" s="141"/>
      <c r="O62" s="167" t="str">
        <f t="shared" si="4"/>
        <v>No</v>
      </c>
      <c r="P62" s="83"/>
    </row>
    <row r="63" spans="4:16" x14ac:dyDescent="0.25">
      <c r="D63" s="152">
        <v>53</v>
      </c>
      <c r="E63" s="46" t="e" vm="100">
        <v>#VALUE!</v>
      </c>
      <c r="F63" s="141" cm="1">
        <f t="array" ref="F63">_FV(E63,"Price")</f>
        <v>444.98</v>
      </c>
      <c r="G63" s="141" cm="1">
        <f t="array" ref="G63">_FV(E63,"52 week high",TRUE)</f>
        <v>479.99</v>
      </c>
      <c r="H63" s="141" cm="1">
        <f t="array" ref="H63">_FV(E63,"52 week low",TRUE)</f>
        <v>324.2278</v>
      </c>
      <c r="I63" s="141" cm="1">
        <f t="array" ref="I63">_FV(E63,"P/E",TRUE)</f>
        <v>19.5426</v>
      </c>
      <c r="J63" s="141"/>
      <c r="K63" s="141">
        <v>333.71</v>
      </c>
      <c r="L63" s="141">
        <v>330.16</v>
      </c>
      <c r="M63" s="141">
        <v>325.95</v>
      </c>
      <c r="N63" s="141">
        <v>330.51</v>
      </c>
      <c r="O63" s="167" t="str">
        <f t="shared" si="4"/>
        <v>No</v>
      </c>
      <c r="P63" s="83"/>
    </row>
    <row r="64" spans="4:16" x14ac:dyDescent="0.25">
      <c r="D64" s="152">
        <v>54</v>
      </c>
      <c r="E64" s="46" t="e" vm="10">
        <v>#VALUE!</v>
      </c>
      <c r="F64" s="141" cm="1">
        <f t="array" ref="F64">_FV(E64,"Price")</f>
        <v>78.540000000000006</v>
      </c>
      <c r="G64" s="141" cm="1">
        <f t="array" ref="G64">_FV(E64,"52 week high",TRUE)</f>
        <v>98.27</v>
      </c>
      <c r="H64" s="141" cm="1">
        <f t="array" ref="H64">_FV(E64,"52 week low",TRUE)</f>
        <v>61.45</v>
      </c>
      <c r="I64" s="141" cm="1">
        <f t="array" ref="I64">_FV(E64,"P/E",TRUE)</f>
        <v>0</v>
      </c>
      <c r="J64" s="141"/>
      <c r="K64" s="141"/>
      <c r="L64" s="141"/>
      <c r="M64" s="141"/>
      <c r="N64" s="141"/>
      <c r="O64" s="167" t="str">
        <f t="shared" si="4"/>
        <v>No</v>
      </c>
      <c r="P64" s="83"/>
    </row>
    <row r="65" spans="4:16" x14ac:dyDescent="0.25">
      <c r="D65" s="152">
        <v>55</v>
      </c>
      <c r="E65" s="46" t="e" vm="101">
        <v>#VALUE!</v>
      </c>
      <c r="F65" s="141" cm="1">
        <f t="array" ref="F65">_FV(E65,"Price")</f>
        <v>19.399999999999999</v>
      </c>
      <c r="G65" s="141" cm="1">
        <f t="array" ref="G65">_FV(E65,"52 week high",TRUE)</f>
        <v>31.52</v>
      </c>
      <c r="H65" s="141" cm="1">
        <f t="array" ref="H65">_FV(E65,"52 week low",TRUE)</f>
        <v>14.94</v>
      </c>
      <c r="I65" s="141" cm="1">
        <f t="array" ref="I65">_FV(E65,"P/E",TRUE)</f>
        <v>0</v>
      </c>
      <c r="J65" s="141"/>
      <c r="K65" s="141"/>
      <c r="L65" s="141"/>
      <c r="M65" s="141"/>
      <c r="N65" s="141"/>
      <c r="O65" s="167" t="str">
        <f t="shared" si="4"/>
        <v>No</v>
      </c>
      <c r="P65" s="83"/>
    </row>
    <row r="66" spans="4:16" x14ac:dyDescent="0.25">
      <c r="D66" s="152">
        <v>56</v>
      </c>
      <c r="E66" s="46" t="e" vm="102">
        <v>#VALUE!</v>
      </c>
      <c r="F66" s="141" cm="1">
        <f t="array" ref="F66">_FV(E66,"Price")</f>
        <v>20.54</v>
      </c>
      <c r="G66" s="141" cm="1">
        <f t="array" ref="G66">_FV(E66,"52 week high",TRUE)</f>
        <v>33.950000000000003</v>
      </c>
      <c r="H66" s="141" cm="1">
        <f t="array" ref="H66">_FV(E66,"52 week low",TRUE)</f>
        <v>14.9</v>
      </c>
      <c r="I66" s="141" cm="1">
        <f t="array" ref="I66">_FV(E66,"P/E",TRUE)</f>
        <v>0</v>
      </c>
      <c r="J66" s="141"/>
      <c r="K66" s="141"/>
      <c r="L66" s="141"/>
      <c r="M66" s="141"/>
      <c r="N66" s="141"/>
      <c r="O66" s="167" t="str">
        <f t="shared" si="4"/>
        <v>No</v>
      </c>
      <c r="P66" s="83"/>
    </row>
    <row r="67" spans="4:16" x14ac:dyDescent="0.25">
      <c r="D67" s="152">
        <v>57</v>
      </c>
      <c r="E67" s="46" t="e" vm="103">
        <v>#VALUE!</v>
      </c>
      <c r="F67" s="141" cm="1">
        <f t="array" ref="F67">_FV(E67,"Price")</f>
        <v>166.35</v>
      </c>
      <c r="G67" s="141" cm="1">
        <f t="array" ref="G67">_FV(E67,"52 week high",TRUE)</f>
        <v>174.76</v>
      </c>
      <c r="H67" s="141" cm="1">
        <f t="array" ref="H67">_FV(E67,"52 week low",TRUE)</f>
        <v>92.86</v>
      </c>
      <c r="I67" s="141" cm="1">
        <f t="array" ref="I67">_FV(E67,"P/E",TRUE)</f>
        <v>20.449300000000001</v>
      </c>
      <c r="J67" s="141"/>
      <c r="K67" s="141"/>
      <c r="L67" s="141"/>
      <c r="M67" s="141"/>
      <c r="N67" s="141"/>
      <c r="O67" s="167" t="str">
        <f t="shared" si="4"/>
        <v>No</v>
      </c>
      <c r="P67" s="83"/>
    </row>
    <row r="68" spans="4:16" x14ac:dyDescent="0.25">
      <c r="D68" s="152">
        <v>58</v>
      </c>
      <c r="E68" s="46" t="e" vm="104">
        <v>#VALUE!</v>
      </c>
      <c r="F68" s="141" cm="1">
        <f t="array" ref="F68">_FV(E68,"Price")</f>
        <v>56.64</v>
      </c>
      <c r="G68" s="141" cm="1">
        <f t="array" ref="G68">_FV(E68,"52 week high",TRUE)</f>
        <v>63.24</v>
      </c>
      <c r="H68" s="141" cm="1">
        <f t="array" ref="H68">_FV(E68,"52 week low",TRUE)</f>
        <v>21.62</v>
      </c>
      <c r="I68" s="141" cm="1">
        <f t="array" ref="I68">_FV(E68,"P/E",TRUE)</f>
        <v>27.5456</v>
      </c>
      <c r="J68" s="141"/>
      <c r="K68" s="141"/>
      <c r="L68" s="141"/>
      <c r="M68" s="141"/>
      <c r="N68" s="141"/>
      <c r="O68" s="167" t="str">
        <f t="shared" si="4"/>
        <v>No</v>
      </c>
      <c r="P68" s="83"/>
    </row>
    <row r="69" spans="4:16" x14ac:dyDescent="0.25">
      <c r="D69" s="152">
        <v>59</v>
      </c>
      <c r="E69" s="46" t="e" vm="105">
        <v>#VALUE!</v>
      </c>
      <c r="F69" s="141" cm="1">
        <f t="array" ref="F69">_FV(E69,"Price")</f>
        <v>82.81</v>
      </c>
      <c r="G69" s="141" cm="1">
        <f t="array" ref="G69">_FV(E69,"52 week high",TRUE)</f>
        <v>91.504999999999995</v>
      </c>
      <c r="H69" s="141" cm="1">
        <f t="array" ref="H69">_FV(E69,"52 week low",TRUE)</f>
        <v>52.1</v>
      </c>
      <c r="I69" s="141" cm="1">
        <f t="array" ref="I69">_FV(E69,"P/E",TRUE)</f>
        <v>15.398300000000001</v>
      </c>
      <c r="J69" s="141"/>
      <c r="K69" s="141"/>
      <c r="L69" s="141"/>
      <c r="M69" s="141"/>
      <c r="N69" s="141"/>
      <c r="O69" s="167" t="str">
        <f t="shared" si="4"/>
        <v>No</v>
      </c>
      <c r="P69" s="83"/>
    </row>
    <row r="70" spans="4:16" ht="15.75" x14ac:dyDescent="0.25">
      <c r="D70" s="160"/>
      <c r="E70" s="157"/>
      <c r="F70" s="158"/>
      <c r="G70" s="158"/>
      <c r="H70" s="158"/>
      <c r="I70" s="158"/>
      <c r="J70" s="158"/>
      <c r="K70" s="158"/>
      <c r="L70" s="158"/>
      <c r="M70" s="158"/>
      <c r="N70" s="158"/>
      <c r="O70" s="163"/>
      <c r="P70" s="83"/>
    </row>
    <row r="71" spans="4:16" x14ac:dyDescent="0.25">
      <c r="D71" s="152">
        <v>60</v>
      </c>
      <c r="E71" s="46" t="e" vm="106">
        <v>#VALUE!</v>
      </c>
      <c r="F71" s="141" cm="1">
        <f t="array" ref="F71">_FV(E71,"Price")</f>
        <v>177.83</v>
      </c>
      <c r="G71" s="141" cm="1">
        <f t="array" ref="G71">_FV(E71,"52 week high",TRUE)</f>
        <v>179.92</v>
      </c>
      <c r="H71" s="141" cm="1">
        <f t="array" ref="H71">_FV(E71,"52 week low",TRUE)</f>
        <v>155.72</v>
      </c>
      <c r="I71" s="141" cm="1">
        <f t="array" ref="I71">_FV(E71,"P/E",TRUE)</f>
        <v>22.764500000000002</v>
      </c>
      <c r="J71" s="141"/>
      <c r="K71" s="141"/>
      <c r="L71" s="141"/>
      <c r="M71" s="141"/>
      <c r="N71" s="141"/>
      <c r="O71" s="167" t="str">
        <f t="shared" ref="O71:O81" si="5">IF(AND(F71&lt;K71,F71&lt;L71,F71&lt;M71,F71&lt;N71),"Yes","No")</f>
        <v>No</v>
      </c>
      <c r="P71" s="83"/>
    </row>
    <row r="72" spans="4:16" x14ac:dyDescent="0.25">
      <c r="D72" s="152">
        <v>61</v>
      </c>
      <c r="E72" s="46" t="e" vm="107">
        <v>#VALUE!</v>
      </c>
      <c r="F72" s="141" cm="1">
        <f t="array" ref="F72">_FV(E72,"Price")</f>
        <v>119.99</v>
      </c>
      <c r="G72" s="141" cm="1">
        <f t="array" ref="G72">_FV(E72,"52 week high",TRUE)</f>
        <v>142.6</v>
      </c>
      <c r="H72" s="141" cm="1">
        <f t="array" ref="H72">_FV(E72,"52 week low",TRUE)</f>
        <v>105.36</v>
      </c>
      <c r="I72" s="141" cm="1">
        <f t="array" ref="I72">_FV(E72,"P/E",TRUE)</f>
        <v>30.348199999999999</v>
      </c>
      <c r="J72" s="141"/>
      <c r="K72" s="141"/>
      <c r="L72" s="141"/>
      <c r="M72" s="141"/>
      <c r="N72" s="141"/>
      <c r="O72" s="167" t="str">
        <f t="shared" si="5"/>
        <v>No</v>
      </c>
      <c r="P72" s="83"/>
    </row>
    <row r="73" spans="4:16" x14ac:dyDescent="0.25">
      <c r="D73" s="152">
        <v>62</v>
      </c>
      <c r="E73" s="46" t="e" vm="32">
        <v>#VALUE!</v>
      </c>
      <c r="F73" s="141" cm="1">
        <f t="array" ref="F73">_FV(E73,"Price")</f>
        <v>59.18</v>
      </c>
      <c r="G73" s="141" cm="1">
        <f t="array" ref="G73">_FV(E73,"52 week high",TRUE)</f>
        <v>74.12</v>
      </c>
      <c r="H73" s="141" cm="1">
        <f t="array" ref="H73">_FV(E73,"52 week low",TRUE)</f>
        <v>57.185000000000002</v>
      </c>
      <c r="I73" s="141" cm="1">
        <f t="array" ref="I73">_FV(E73,"P/E",TRUE)</f>
        <v>11.993</v>
      </c>
      <c r="J73" s="141"/>
      <c r="K73" s="141"/>
      <c r="L73" s="141"/>
      <c r="M73" s="141"/>
      <c r="N73" s="141"/>
      <c r="O73" s="167" t="str">
        <f t="shared" si="5"/>
        <v>No</v>
      </c>
      <c r="P73" s="83"/>
    </row>
    <row r="74" spans="4:16" x14ac:dyDescent="0.25">
      <c r="D74" s="152">
        <v>63</v>
      </c>
      <c r="E74" s="46" t="e" vm="108">
        <v>#VALUE!</v>
      </c>
      <c r="F74" s="141" cm="1">
        <f t="array" ref="F74">_FV(E74,"Price")</f>
        <v>86.99</v>
      </c>
      <c r="G74" s="141" cm="1">
        <f t="array" ref="G74">_FV(E74,"52 week high",TRUE)</f>
        <v>95.17</v>
      </c>
      <c r="H74" s="141" cm="1">
        <f t="array" ref="H74">_FV(E74,"52 week low",TRUE)</f>
        <v>79.09</v>
      </c>
      <c r="I74" s="141" cm="1">
        <f t="array" ref="I74">_FV(E74,"P/E",TRUE)</f>
        <v>8.1685999999999996</v>
      </c>
      <c r="J74" s="141"/>
      <c r="K74" s="141"/>
      <c r="L74" s="141"/>
      <c r="M74" s="141"/>
      <c r="N74" s="141"/>
      <c r="O74" s="167" t="str">
        <f t="shared" si="5"/>
        <v>No</v>
      </c>
      <c r="P74" s="83"/>
    </row>
    <row r="75" spans="4:16" x14ac:dyDescent="0.25">
      <c r="D75" s="152">
        <v>64</v>
      </c>
      <c r="E75" s="46" t="e" vm="109">
        <v>#VALUE!</v>
      </c>
      <c r="F75" s="141" cm="1">
        <f t="array" ref="F75">_FV(E75,"Price")</f>
        <v>81.209999999999994</v>
      </c>
      <c r="G75" s="141" cm="1">
        <f t="array" ref="G75">_FV(E75,"52 week high",TRUE)</f>
        <v>91.4</v>
      </c>
      <c r="H75" s="141" cm="1">
        <f t="array" ref="H75">_FV(E75,"52 week low",TRUE)</f>
        <v>69.464399999999998</v>
      </c>
      <c r="I75" s="141" cm="1">
        <f t="array" ref="I75">_FV(E75,"P/E",TRUE)</f>
        <v>16.6891</v>
      </c>
      <c r="J75" s="141"/>
      <c r="K75" s="141"/>
      <c r="L75" s="141"/>
      <c r="M75" s="141"/>
      <c r="N75" s="141"/>
      <c r="O75" s="167" t="str">
        <f t="shared" si="5"/>
        <v>No</v>
      </c>
      <c r="P75" s="83"/>
    </row>
    <row r="76" spans="4:16" x14ac:dyDescent="0.25">
      <c r="D76" s="152">
        <v>65</v>
      </c>
      <c r="E76" s="46" t="e" vm="34">
        <v>#VALUE!</v>
      </c>
      <c r="F76" s="141" cm="1">
        <f t="array" ref="F76">_FV(E76,"Price")</f>
        <v>693.4</v>
      </c>
      <c r="G76" s="141" cm="1">
        <f t="array" ref="G76">_FV(E76,"52 week high",TRUE)</f>
        <v>697.01</v>
      </c>
      <c r="H76" s="141" cm="1">
        <f t="array" ref="H76">_FV(E76,"52 week low",TRUE)</f>
        <v>451.6</v>
      </c>
      <c r="I76" s="141" cm="1">
        <f t="array" ref="I76">_FV(E76,"P/E",TRUE)</f>
        <v>9.2889999999999997</v>
      </c>
      <c r="J76" s="141"/>
      <c r="K76" s="141">
        <v>462.54</v>
      </c>
      <c r="L76" s="141">
        <v>458.11</v>
      </c>
      <c r="M76" s="141">
        <v>478.46</v>
      </c>
      <c r="N76" s="141">
        <v>490.3</v>
      </c>
      <c r="O76" s="167" t="str">
        <f t="shared" si="5"/>
        <v>No</v>
      </c>
      <c r="P76" s="83"/>
    </row>
    <row r="77" spans="4:16" x14ac:dyDescent="0.25">
      <c r="D77" s="152">
        <v>66</v>
      </c>
      <c r="E77" s="46" t="e" vm="22">
        <v>#VALUE!</v>
      </c>
      <c r="F77" s="141" cm="1">
        <f t="array" ref="F77">_FV(E77,"Price")</f>
        <v>53.28</v>
      </c>
      <c r="G77" s="141" cm="1">
        <f t="array" ref="G77">_FV(E77,"52 week high",TRUE)</f>
        <v>61.71</v>
      </c>
      <c r="H77" s="141" cm="1">
        <f t="array" ref="H77">_FV(E77,"52 week low",TRUE)</f>
        <v>35.76</v>
      </c>
      <c r="I77" s="141" cm="1">
        <f t="array" ref="I77">_FV(E77,"P/E",TRUE)</f>
        <v>13.5663</v>
      </c>
      <c r="J77" s="141"/>
      <c r="K77" s="141">
        <v>34.46</v>
      </c>
      <c r="L77" s="141">
        <v>34.119999999999997</v>
      </c>
      <c r="M77" s="141">
        <v>34.61</v>
      </c>
      <c r="N77" s="141">
        <v>35.770000000000003</v>
      </c>
      <c r="O77" s="167" t="str">
        <f t="shared" si="5"/>
        <v>No</v>
      </c>
      <c r="P77" s="83"/>
    </row>
    <row r="78" spans="4:16" x14ac:dyDescent="0.25">
      <c r="D78" s="152">
        <v>67</v>
      </c>
      <c r="E78" s="46" t="e" vm="110">
        <v>#VALUE!</v>
      </c>
      <c r="F78" s="141" cm="1">
        <f t="array" ref="F78">_FV(E78,"Price")</f>
        <v>173.08</v>
      </c>
      <c r="G78" s="141" cm="1">
        <f t="array" ref="G78">_FV(E78,"52 week high",TRUE)</f>
        <v>497.49</v>
      </c>
      <c r="H78" s="141" cm="1">
        <f t="array" ref="H78">_FV(E78,"52 week low",TRUE)</f>
        <v>117.3411</v>
      </c>
      <c r="I78" s="141" cm="1">
        <f t="array" ref="I78">_FV(E78,"P/E",TRUE)</f>
        <v>6.1237000000000004</v>
      </c>
      <c r="J78" s="141"/>
      <c r="K78" s="141"/>
      <c r="L78" s="141"/>
      <c r="M78" s="141"/>
      <c r="N78" s="141"/>
      <c r="O78" s="167" t="str">
        <f t="shared" si="5"/>
        <v>No</v>
      </c>
      <c r="P78" s="83"/>
    </row>
    <row r="79" spans="4:16" x14ac:dyDescent="0.25">
      <c r="D79" s="152">
        <v>68</v>
      </c>
      <c r="E79" s="46" t="e" vm="111">
        <v>#VALUE!</v>
      </c>
      <c r="F79" s="141" cm="1">
        <f t="array" ref="F79">_FV(E79,"Price")</f>
        <v>255.72</v>
      </c>
      <c r="G79" s="141" cm="1">
        <f t="array" ref="G79">_FV(E79,"52 week high",TRUE)</f>
        <v>258.25</v>
      </c>
      <c r="H79" s="141" cm="1">
        <f t="array" ref="H79">_FV(E79,"52 week low",TRUE)</f>
        <v>176.36</v>
      </c>
      <c r="I79" s="141" cm="1">
        <f t="array" ref="I79">_FV(E79,"P/E",TRUE)</f>
        <v>28.327300000000001</v>
      </c>
      <c r="J79" s="141"/>
      <c r="K79" s="141"/>
      <c r="L79" s="141"/>
      <c r="M79" s="141"/>
      <c r="N79" s="141"/>
      <c r="O79" s="167" t="str">
        <f t="shared" si="5"/>
        <v>No</v>
      </c>
      <c r="P79" s="83"/>
    </row>
    <row r="80" spans="4:16" x14ac:dyDescent="0.25">
      <c r="D80" s="152">
        <v>69</v>
      </c>
      <c r="E80" s="46" t="e" vm="112">
        <v>#VALUE!</v>
      </c>
      <c r="F80" s="141" cm="1">
        <f t="array" ref="F80">_FV(E80,"Price")</f>
        <v>65.38</v>
      </c>
      <c r="G80" s="141" cm="1">
        <f t="array" ref="G80">_FV(E80,"52 week high",TRUE)</f>
        <v>66.06</v>
      </c>
      <c r="H80" s="141" cm="1">
        <f t="array" ref="H80">_FV(E80,"52 week low",TRUE)</f>
        <v>48.26</v>
      </c>
      <c r="I80" s="141" cm="1">
        <f t="array" ref="I80">_FV(E80,"P/E",TRUE)</f>
        <v>479.642</v>
      </c>
      <c r="J80" s="141"/>
      <c r="K80" s="141"/>
      <c r="L80" s="141"/>
      <c r="M80" s="141"/>
      <c r="N80" s="141"/>
      <c r="O80" s="167" t="str">
        <f t="shared" si="5"/>
        <v>No</v>
      </c>
      <c r="P80" s="83"/>
    </row>
    <row r="81" spans="4:16" x14ac:dyDescent="0.25">
      <c r="D81" s="152">
        <v>70</v>
      </c>
      <c r="E81" s="46" t="e" vm="113">
        <v>#VALUE!</v>
      </c>
      <c r="F81" s="141" cm="1">
        <f t="array" ref="F81">_FV(E81,"Price")</f>
        <v>437.32</v>
      </c>
      <c r="G81" s="141" cm="1">
        <f t="array" ref="G81">_FV(E81,"52 week high",TRUE)</f>
        <v>543.85</v>
      </c>
      <c r="H81" s="141" cm="1">
        <f t="array" ref="H81">_FV(E81,"52 week low",TRUE)</f>
        <v>347.88</v>
      </c>
      <c r="I81" s="141" cm="1">
        <f t="array" ref="I81">_FV(E81,"P/E",TRUE)</f>
        <v>85.335899999999995</v>
      </c>
      <c r="J81" s="141"/>
      <c r="K81" s="141"/>
      <c r="L81" s="141"/>
      <c r="M81" s="141"/>
      <c r="N81" s="141"/>
      <c r="O81" s="167" t="str">
        <f t="shared" si="5"/>
        <v>No</v>
      </c>
      <c r="P81" s="83"/>
    </row>
  </sheetData>
  <phoneticPr fontId="5" type="noConversion"/>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2B35-8DBD-4F80-A69F-51EEF850A336}">
  <dimension ref="D3:S18"/>
  <sheetViews>
    <sheetView showGridLines="0" topLeftCell="C1" workbookViewId="0">
      <selection activeCell="M28" sqref="M28"/>
    </sheetView>
  </sheetViews>
  <sheetFormatPr defaultColWidth="8.85546875" defaultRowHeight="15" x14ac:dyDescent="0.25"/>
  <cols>
    <col min="1" max="3" width="8.85546875" style="39"/>
    <col min="4" max="4" width="4.28515625" style="153" bestFit="1" customWidth="1"/>
    <col min="5" max="5" width="52.28515625" style="39" bestFit="1" customWidth="1"/>
    <col min="6" max="6" width="9.28515625" style="39" bestFit="1" customWidth="1"/>
    <col min="7" max="7" width="12" style="39" bestFit="1" customWidth="1"/>
    <col min="8" max="8" width="11.42578125" style="39" bestFit="1" customWidth="1"/>
    <col min="9" max="9" width="9.28515625" style="39" bestFit="1" customWidth="1"/>
    <col min="10" max="10" width="22.28515625" style="39" bestFit="1" customWidth="1"/>
    <col min="11" max="14" width="7.7109375" style="39" bestFit="1" customWidth="1"/>
    <col min="15" max="15" width="12.5703125" style="168" bestFit="1" customWidth="1"/>
    <col min="16" max="16" width="9.28515625" style="39" bestFit="1" customWidth="1"/>
    <col min="17" max="18" width="8" style="39" bestFit="1" customWidth="1"/>
    <col min="19" max="19" width="10.28515625" style="39" bestFit="1" customWidth="1"/>
    <col min="20" max="20" width="8" style="39" bestFit="1" customWidth="1"/>
    <col min="21" max="21" width="10.140625" style="39" bestFit="1" customWidth="1"/>
    <col min="22" max="22" width="7.7109375" style="39" bestFit="1" customWidth="1"/>
    <col min="23" max="23" width="5.42578125" style="39" bestFit="1" customWidth="1"/>
    <col min="24" max="16384" width="8.85546875" style="39"/>
  </cols>
  <sheetData>
    <row r="3" spans="4:19" ht="15.75" x14ac:dyDescent="0.25">
      <c r="D3" s="155" t="s">
        <v>50</v>
      </c>
      <c r="E3" s="154" t="s">
        <v>0</v>
      </c>
      <c r="F3" s="155" t="s">
        <v>47</v>
      </c>
      <c r="G3" s="155" t="s">
        <v>60</v>
      </c>
      <c r="H3" s="155" t="s">
        <v>61</v>
      </c>
      <c r="I3" s="155" t="s">
        <v>64</v>
      </c>
      <c r="J3" s="155" t="s">
        <v>63</v>
      </c>
      <c r="K3" s="155" t="s">
        <v>43</v>
      </c>
      <c r="L3" s="155" t="s">
        <v>44</v>
      </c>
      <c r="M3" s="155" t="s">
        <v>65</v>
      </c>
      <c r="N3" s="155" t="s">
        <v>66</v>
      </c>
      <c r="O3" s="164" t="s">
        <v>62</v>
      </c>
      <c r="P3" s="162"/>
      <c r="Q3" s="162"/>
    </row>
    <row r="4" spans="4:19" ht="15.75" x14ac:dyDescent="0.25">
      <c r="D4" s="176"/>
      <c r="E4" s="157"/>
      <c r="F4" s="158"/>
      <c r="G4" s="158"/>
      <c r="H4" s="158"/>
      <c r="I4" s="158"/>
      <c r="J4" s="158"/>
      <c r="K4" s="158"/>
      <c r="L4" s="158"/>
      <c r="M4" s="158"/>
      <c r="N4" s="158"/>
      <c r="O4" s="163"/>
    </row>
    <row r="5" spans="4:19" x14ac:dyDescent="0.25">
      <c r="D5" s="159">
        <v>1</v>
      </c>
      <c r="E5" s="51" t="e" vm="82">
        <v>#VALUE!</v>
      </c>
      <c r="F5" s="183" cm="1">
        <f t="array" ref="F5">_FV(E5,"Price")</f>
        <v>6550</v>
      </c>
      <c r="G5" s="183" cm="1">
        <f t="array" ref="G5">_FV(E5,"52 week high",TRUE)</f>
        <v>6775</v>
      </c>
      <c r="H5" s="183" cm="1">
        <f t="array" ref="H5">_FV(E5,"52 week low",TRUE)</f>
        <v>4640</v>
      </c>
      <c r="I5" s="156">
        <v>11.3</v>
      </c>
      <c r="J5" s="183" cm="1">
        <f t="array" ref="J5">_FV(E5,"Market cap",TRUE)</f>
        <v>271239800000000</v>
      </c>
      <c r="K5" s="183">
        <v>5550</v>
      </c>
      <c r="L5" s="183">
        <v>5635</v>
      </c>
      <c r="M5" s="183">
        <v>5721</v>
      </c>
      <c r="N5" s="183">
        <v>5225</v>
      </c>
      <c r="O5" s="167" t="str">
        <f t="shared" ref="O5:O10" si="0">IF(AND(F5&lt;K5,F5&lt;L5,F5&lt;M5,F5&lt;N5),"Yes","No")</f>
        <v>No</v>
      </c>
      <c r="P5" s="83"/>
    </row>
    <row r="6" spans="4:19" x14ac:dyDescent="0.25">
      <c r="D6" s="152">
        <v>2</v>
      </c>
      <c r="E6" s="46" t="e" vm="81">
        <v>#VALUE!</v>
      </c>
      <c r="F6" s="184" cm="1">
        <f t="array" ref="F6">_FV(E6,"Price")</f>
        <v>8375</v>
      </c>
      <c r="G6" s="184" cm="1">
        <f t="array" ref="G6">_FV(E6,"52 week high",TRUE)</f>
        <v>8550</v>
      </c>
      <c r="H6" s="184" cm="1">
        <f t="array" ref="H6">_FV(E6,"52 week low",TRUE)</f>
        <v>4560</v>
      </c>
      <c r="I6" s="141">
        <v>15.08</v>
      </c>
      <c r="J6" s="183" cm="1">
        <f t="array" ref="J6">_FV(E6,"Market cap",TRUE)</f>
        <v>156928400000000</v>
      </c>
      <c r="K6" s="184">
        <v>6235</v>
      </c>
      <c r="L6" s="184">
        <v>6050</v>
      </c>
      <c r="M6" s="184">
        <v>5718</v>
      </c>
      <c r="N6" s="184">
        <v>5090</v>
      </c>
      <c r="O6" s="167" t="str">
        <f t="shared" si="0"/>
        <v>No</v>
      </c>
      <c r="P6" s="83"/>
    </row>
    <row r="7" spans="4:19" x14ac:dyDescent="0.25">
      <c r="D7" s="159">
        <v>3</v>
      </c>
      <c r="E7" s="46" t="e" vm="114">
        <v>#VALUE!</v>
      </c>
      <c r="F7" s="184" cm="1">
        <f t="array" ref="F7">_FV(E7,"Price")</f>
        <v>4560</v>
      </c>
      <c r="G7" s="184" cm="1">
        <f t="array" ref="G7">_FV(E7,"52 week high",TRUE)</f>
        <v>4700</v>
      </c>
      <c r="H7" s="184" cm="1">
        <f t="array" ref="H7">_FV(E7,"52 week low",TRUE)</f>
        <v>3000</v>
      </c>
      <c r="I7" s="141">
        <v>17</v>
      </c>
      <c r="J7" s="183" cm="1">
        <f t="array" ref="J7">_FV(E7,"Market cap",TRUE)</f>
        <v>455686200000000</v>
      </c>
      <c r="K7" s="184">
        <v>3340</v>
      </c>
      <c r="L7" s="184">
        <v>3304</v>
      </c>
      <c r="M7" s="184">
        <v>3148</v>
      </c>
      <c r="N7" s="184">
        <v>2872</v>
      </c>
      <c r="O7" s="167" t="str">
        <f t="shared" si="0"/>
        <v>No</v>
      </c>
      <c r="P7" s="83"/>
    </row>
    <row r="8" spans="4:19" x14ac:dyDescent="0.25">
      <c r="D8" s="152">
        <v>4</v>
      </c>
      <c r="E8" s="46" t="e" vm="115">
        <v>#VALUE!</v>
      </c>
      <c r="F8" s="184" cm="1">
        <f t="array" ref="F8">_FV(E8,"Price")</f>
        <v>4690</v>
      </c>
      <c r="G8" s="184" cm="1">
        <f t="array" ref="G8">_FV(E8,"52 week high",TRUE)</f>
        <v>4860</v>
      </c>
      <c r="H8" s="184" cm="1">
        <f t="array" ref="H8">_FV(E8,"52 week low",TRUE)</f>
        <v>3500</v>
      </c>
      <c r="I8" s="141">
        <v>22</v>
      </c>
      <c r="J8" s="183" cm="1">
        <f t="array" ref="J8">_FV(E8,"Market cap",TRUE)</f>
        <v>709705300000000</v>
      </c>
      <c r="K8" s="184">
        <v>4232</v>
      </c>
      <c r="L8" s="184">
        <v>4182</v>
      </c>
      <c r="M8" s="184">
        <v>4030</v>
      </c>
      <c r="N8" s="184">
        <v>3538</v>
      </c>
      <c r="O8" s="167" t="str">
        <f>IF(AND(F8&lt;K8,F8&lt;L8,F8&lt;M8,F8&lt;N8),"Yes","No")</f>
        <v>No</v>
      </c>
      <c r="P8" s="83"/>
      <c r="S8" s="100"/>
    </row>
    <row r="9" spans="4:19" x14ac:dyDescent="0.25">
      <c r="D9" s="177"/>
      <c r="E9" s="98"/>
      <c r="F9" s="98"/>
      <c r="G9" s="98"/>
      <c r="H9" s="98"/>
      <c r="I9" s="98"/>
      <c r="J9" s="98"/>
      <c r="K9" s="98"/>
      <c r="L9" s="98"/>
      <c r="M9" s="98"/>
      <c r="N9" s="98"/>
      <c r="O9" s="185"/>
    </row>
    <row r="10" spans="4:19" x14ac:dyDescent="0.25">
      <c r="D10" s="152">
        <v>5</v>
      </c>
      <c r="E10" s="46" t="e" vm="116">
        <v>#VALUE!</v>
      </c>
      <c r="F10" s="184" cm="1">
        <f t="array" ref="F10">_FV(E10,"Price")</f>
        <v>170</v>
      </c>
      <c r="G10" s="184" cm="1">
        <f t="array" ref="G10">_FV(E10,"52 week high",TRUE)</f>
        <v>224</v>
      </c>
      <c r="H10" s="184" cm="1">
        <f t="array" ref="H10">_FV(E10,"52 week low",TRUE)</f>
        <v>165</v>
      </c>
      <c r="I10" s="141">
        <v>3.71</v>
      </c>
      <c r="J10" s="184" cm="1">
        <f t="array" ref="J10">_FV(E10,"Market cap",TRUE)</f>
        <v>5475775000000</v>
      </c>
      <c r="K10" s="184">
        <v>228</v>
      </c>
      <c r="L10" s="184">
        <v>224</v>
      </c>
      <c r="M10" s="184">
        <v>215</v>
      </c>
      <c r="N10" s="184">
        <v>198</v>
      </c>
      <c r="O10" s="186" t="str">
        <f t="shared" si="0"/>
        <v>Yes</v>
      </c>
      <c r="P10" s="83"/>
    </row>
    <row r="11" spans="4:19" x14ac:dyDescent="0.25">
      <c r="D11" s="159">
        <v>6</v>
      </c>
      <c r="E11" s="51" t="e" vm="117">
        <v>#VALUE!</v>
      </c>
      <c r="F11" s="183" cm="1">
        <f t="array" ref="F11">_FV(E11,"Price")</f>
        <v>26025</v>
      </c>
      <c r="G11" s="183" cm="1">
        <f t="array" ref="G11">_FV(E11,"52 week high",TRUE)</f>
        <v>27750</v>
      </c>
      <c r="H11" s="183" cm="1">
        <f t="array" ref="H11">_FV(E11,"52 week low",TRUE)</f>
        <v>18525</v>
      </c>
      <c r="I11" s="156">
        <v>11.26</v>
      </c>
      <c r="J11" s="183" cm="1">
        <f t="array" ref="J11">_FV(E11,"Market cap",TRUE)</f>
        <v>99221590000000</v>
      </c>
      <c r="K11" s="183">
        <v>24225</v>
      </c>
      <c r="L11" s="183">
        <v>23268</v>
      </c>
      <c r="M11" s="183">
        <v>22151</v>
      </c>
      <c r="N11" s="183">
        <v>22218</v>
      </c>
      <c r="O11" s="167" t="str">
        <f t="shared" ref="O11" si="1">IF(AND(F11&lt;K11,F11&lt;L11,F11&lt;M11,F11&lt;N11),"Yes","No")</f>
        <v>No</v>
      </c>
      <c r="P11" s="83"/>
      <c r="S11" s="100"/>
    </row>
    <row r="12" spans="4:19" x14ac:dyDescent="0.25">
      <c r="D12" s="152">
        <v>7</v>
      </c>
      <c r="E12" s="46" t="e" vm="118">
        <v>#VALUE!</v>
      </c>
      <c r="F12" s="184" cm="1">
        <f t="array" ref="F12">_FV(E12,"Price")</f>
        <v>840</v>
      </c>
      <c r="G12" s="184" cm="1">
        <f t="array" ref="G12">_FV(E12,"52 week high",TRUE)</f>
        <v>920</v>
      </c>
      <c r="H12" s="184" cm="1">
        <f t="array" ref="H12">_FV(E12,"52 week low",TRUE)</f>
        <v>610</v>
      </c>
      <c r="I12" s="141">
        <v>187.13</v>
      </c>
      <c r="J12" s="183" cm="1">
        <f t="array" ref="J12">_FV(E12,"Market cap",TRUE)</f>
        <v>13861000000000</v>
      </c>
      <c r="K12" s="184">
        <v>831</v>
      </c>
      <c r="L12" s="184">
        <v>817</v>
      </c>
      <c r="M12" s="184">
        <v>775</v>
      </c>
      <c r="N12" s="184">
        <v>676</v>
      </c>
      <c r="O12" s="167" t="str">
        <f t="shared" ref="O12" si="2">IF(AND(F12&lt;K12,F12&lt;L12,F12&lt;M12,F12&lt;N12),"Yes","No")</f>
        <v>No</v>
      </c>
    </row>
    <row r="13" spans="4:19" x14ac:dyDescent="0.25">
      <c r="D13" s="159">
        <v>8</v>
      </c>
      <c r="E13" s="46" t="e" vm="119">
        <v>#VALUE!</v>
      </c>
      <c r="F13" s="184" cm="1">
        <f t="array" ref="F13">_FV(E13,"Price")</f>
        <v>6675</v>
      </c>
      <c r="G13" s="184" cm="1">
        <f t="array" ref="G13">_FV(E13,"52 week high",TRUE)</f>
        <v>11650</v>
      </c>
      <c r="H13" s="184" cm="1">
        <f t="array" ref="H13">_FV(E13,"52 week low",TRUE)</f>
        <v>6150</v>
      </c>
      <c r="I13" s="141">
        <v>26.3</v>
      </c>
      <c r="J13" s="183" cm="1">
        <f t="array" ref="J13">_FV(E13,"Market cap",TRUE)</f>
        <v>40186050000000</v>
      </c>
      <c r="K13" s="184">
        <v>11885</v>
      </c>
      <c r="L13" s="184">
        <v>11765</v>
      </c>
      <c r="M13" s="184">
        <v>11279</v>
      </c>
      <c r="N13" s="184">
        <v>10073</v>
      </c>
      <c r="O13" s="167" t="str">
        <f t="shared" ref="O13" si="3">IF(AND(F13&lt;K13,F13&lt;L13,F13&lt;M13,F13&lt;N13),"Yes","No")</f>
        <v>Yes</v>
      </c>
    </row>
    <row r="14" spans="4:19" x14ac:dyDescent="0.25">
      <c r="D14" s="152"/>
      <c r="E14" s="46"/>
      <c r="F14" s="141"/>
      <c r="G14" s="141"/>
      <c r="H14" s="141"/>
      <c r="I14" s="141"/>
      <c r="J14" s="141"/>
      <c r="K14" s="141"/>
      <c r="L14" s="141"/>
      <c r="M14" s="141"/>
      <c r="N14" s="141"/>
      <c r="O14" s="167"/>
    </row>
    <row r="15" spans="4:19" x14ac:dyDescent="0.25">
      <c r="D15" s="152"/>
      <c r="E15" s="46"/>
      <c r="F15" s="141"/>
      <c r="G15" s="141"/>
      <c r="H15" s="141"/>
      <c r="I15" s="141"/>
      <c r="J15" s="141"/>
      <c r="K15" s="141"/>
      <c r="L15" s="141"/>
      <c r="M15" s="141"/>
      <c r="N15" s="141"/>
      <c r="O15" s="167"/>
    </row>
    <row r="16" spans="4:19" x14ac:dyDescent="0.25">
      <c r="D16" s="152"/>
      <c r="E16" s="46"/>
      <c r="F16" s="141"/>
      <c r="G16" s="141"/>
      <c r="H16" s="141"/>
      <c r="I16" s="141"/>
      <c r="J16" s="141"/>
      <c r="K16" s="141"/>
      <c r="L16" s="141"/>
      <c r="M16" s="141"/>
      <c r="N16" s="141"/>
      <c r="O16" s="167"/>
    </row>
    <row r="17" spans="4:15" x14ac:dyDescent="0.25">
      <c r="D17" s="152"/>
      <c r="E17" s="46"/>
      <c r="F17" s="141"/>
      <c r="G17" s="141"/>
      <c r="H17" s="141"/>
      <c r="I17" s="141"/>
      <c r="J17" s="141"/>
      <c r="K17" s="141"/>
      <c r="L17" s="141"/>
      <c r="M17" s="141"/>
      <c r="N17" s="141"/>
      <c r="O17" s="167"/>
    </row>
    <row r="18" spans="4:15" x14ac:dyDescent="0.25">
      <c r="D18" s="152"/>
      <c r="E18" s="46"/>
      <c r="F18" s="141"/>
      <c r="G18" s="141"/>
      <c r="H18" s="141"/>
      <c r="I18" s="141"/>
      <c r="J18" s="141"/>
      <c r="K18" s="141"/>
      <c r="L18" s="141"/>
      <c r="M18" s="141"/>
      <c r="N18" s="141"/>
      <c r="O18" s="167"/>
    </row>
  </sheetData>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6E190-B8B0-4C1E-BA2E-5FE2F8B1E357}">
  <dimension ref="D1:T49"/>
  <sheetViews>
    <sheetView showGridLines="0" topLeftCell="C1" zoomScale="80" zoomScaleNormal="80" workbookViewId="0">
      <selection activeCell="N27" sqref="N27"/>
    </sheetView>
  </sheetViews>
  <sheetFormatPr defaultColWidth="9.140625" defaultRowHeight="15" x14ac:dyDescent="0.25"/>
  <cols>
    <col min="1" max="3" width="9.140625" style="39"/>
    <col min="4" max="4" width="5.42578125" style="153" bestFit="1" customWidth="1"/>
    <col min="5" max="5" width="56.42578125" style="39" bestFit="1" customWidth="1"/>
    <col min="6" max="6" width="11.85546875" style="39" bestFit="1" customWidth="1"/>
    <col min="7" max="7" width="14.85546875" style="39" bestFit="1" customWidth="1"/>
    <col min="8" max="8" width="12.7109375" style="39" bestFit="1" customWidth="1"/>
    <col min="9" max="9" width="19.140625" style="39" bestFit="1" customWidth="1"/>
    <col min="10" max="10" width="16.28515625" style="39" bestFit="1" customWidth="1"/>
    <col min="11" max="11" width="11.28515625" style="39" bestFit="1" customWidth="1"/>
    <col min="12" max="12" width="14" style="39" customWidth="1"/>
    <col min="13" max="13" width="9.42578125" style="39" customWidth="1"/>
    <col min="14" max="14" width="16.140625" style="39" customWidth="1"/>
    <col min="15" max="16" width="12.7109375" style="39" bestFit="1" customWidth="1"/>
    <col min="17" max="17" width="9.140625" style="39"/>
    <col min="18" max="18" width="9.85546875" style="39" bestFit="1" customWidth="1"/>
    <col min="19" max="19" width="10.42578125" style="39" bestFit="1" customWidth="1"/>
    <col min="20" max="20" width="11.28515625" style="39" bestFit="1" customWidth="1"/>
    <col min="21" max="16384" width="9.140625" style="39"/>
  </cols>
  <sheetData>
    <row r="1" spans="4:20" x14ac:dyDescent="0.25">
      <c r="G1" s="280">
        <f>F5/G5</f>
        <v>8.7254605027671452</v>
      </c>
      <c r="H1" s="290">
        <f>G1*15</f>
        <v>130.88190754150719</v>
      </c>
    </row>
    <row r="3" spans="4:20" x14ac:dyDescent="0.25">
      <c r="D3" s="466" t="s">
        <v>320</v>
      </c>
      <c r="E3" s="466" t="s">
        <v>156</v>
      </c>
      <c r="F3" s="466" t="s">
        <v>8</v>
      </c>
      <c r="G3" s="467" t="s">
        <v>64</v>
      </c>
      <c r="H3" s="466" t="s">
        <v>313</v>
      </c>
      <c r="I3" s="466" t="s">
        <v>314</v>
      </c>
      <c r="J3" s="466" t="s">
        <v>315</v>
      </c>
      <c r="K3" s="466" t="s">
        <v>316</v>
      </c>
      <c r="L3" s="466" t="s">
        <v>317</v>
      </c>
      <c r="M3" s="466" t="s">
        <v>243</v>
      </c>
      <c r="N3" s="466" t="s">
        <v>318</v>
      </c>
      <c r="O3" s="466" t="s">
        <v>333</v>
      </c>
      <c r="P3" s="467" t="s">
        <v>321</v>
      </c>
      <c r="Q3" s="466" t="s">
        <v>322</v>
      </c>
      <c r="R3" s="467" t="s">
        <v>334</v>
      </c>
      <c r="S3" s="483" t="s">
        <v>347</v>
      </c>
      <c r="T3" s="483" t="s">
        <v>348</v>
      </c>
    </row>
    <row r="4" spans="4:20" x14ac:dyDescent="0.25">
      <c r="D4" s="581" t="s">
        <v>37</v>
      </c>
      <c r="E4" s="46" t="e" vm="120">
        <v>#VALUE!</v>
      </c>
      <c r="F4" s="394" cm="1">
        <f t="array" ref="F4">_FV(E4,"Price")</f>
        <v>175.6</v>
      </c>
      <c r="G4" s="469" cm="1">
        <f t="array" ref="G4">_FV(E4,"P/E",TRUE)</f>
        <v>28.258800000000001</v>
      </c>
      <c r="H4" s="394" cm="1">
        <f t="array" ref="H4">_FV(E4,"52 week high",TRUE)</f>
        <v>182.94</v>
      </c>
      <c r="I4" s="394" cm="1">
        <f t="array" ref="I4">_FV(E4,"52 week low",TRUE)</f>
        <v>118.86</v>
      </c>
      <c r="J4" s="469">
        <v>157.97</v>
      </c>
      <c r="K4" s="394">
        <v>147.34</v>
      </c>
      <c r="L4" s="394">
        <v>28.68</v>
      </c>
      <c r="M4" s="394">
        <v>3.31</v>
      </c>
      <c r="N4" s="394">
        <f>L4*M4</f>
        <v>94.930800000000005</v>
      </c>
      <c r="O4" s="389">
        <f>MIN(J4,K4,N4,P4)</f>
        <v>94.930800000000005</v>
      </c>
      <c r="P4" s="389">
        <f>AVERAGE(J4,K4,N4)</f>
        <v>133.4136</v>
      </c>
      <c r="Q4" s="63">
        <f>(P4-F4)/F4</f>
        <v>-0.24024145785876988</v>
      </c>
      <c r="R4" s="63">
        <f>(O4-F4)/F4</f>
        <v>-0.45939179954441911</v>
      </c>
      <c r="S4" s="469">
        <v>19.149999999999999</v>
      </c>
      <c r="T4" s="469">
        <f>G4/S4</f>
        <v>1.4756553524804179</v>
      </c>
    </row>
    <row r="5" spans="4:20" x14ac:dyDescent="0.25">
      <c r="D5" s="581"/>
      <c r="E5" s="46" t="e" vm="121">
        <v>#VALUE!</v>
      </c>
      <c r="F5" s="394" cm="1">
        <f t="array" ref="F5">_FV(E5,"Price")</f>
        <v>158.44999999999999</v>
      </c>
      <c r="G5" s="469" cm="1">
        <f t="array" ref="G5">_FV(E5,"P/E",TRUE)</f>
        <v>18.159500000000001</v>
      </c>
      <c r="H5" s="394" cm="1">
        <f t="array" ref="H5">_FV(E5,"52 week high",TRUE)</f>
        <v>193.58</v>
      </c>
      <c r="I5" s="394" cm="1">
        <f t="array" ref="I5">_FV(E5,"52 week low",TRUE)</f>
        <v>122.16500000000001</v>
      </c>
      <c r="J5" s="469">
        <v>167.37</v>
      </c>
      <c r="K5" s="394">
        <v>166.6</v>
      </c>
      <c r="L5" s="394">
        <v>17.97</v>
      </c>
      <c r="M5" s="394">
        <v>4.58</v>
      </c>
      <c r="N5" s="394">
        <f t="shared" ref="N5:N21" si="0">L5*M5</f>
        <v>82.302599999999998</v>
      </c>
      <c r="O5" s="389">
        <f>MIN(J5,K5,N5,P5)</f>
        <v>82.302599999999998</v>
      </c>
      <c r="P5" s="389">
        <f>AVERAGE(J5,K5,N5)</f>
        <v>138.75753333333333</v>
      </c>
      <c r="Q5" s="63">
        <f t="shared" ref="Q5:Q21" si="1">(P5-F5)/F5</f>
        <v>-0.12428189754917426</v>
      </c>
      <c r="R5" s="63">
        <f t="shared" ref="R5:R21" si="2">(O5-F5)/F5</f>
        <v>-0.48057683811928048</v>
      </c>
      <c r="S5" s="469">
        <v>22.97</v>
      </c>
      <c r="T5" s="469">
        <f t="shared" ref="T5:T17" si="3">G5/S5</f>
        <v>0.79057466260339582</v>
      </c>
    </row>
    <row r="6" spans="4:20" x14ac:dyDescent="0.25">
      <c r="D6" s="581"/>
      <c r="E6" s="46" t="e" vm="122">
        <v>#VALUE!</v>
      </c>
      <c r="F6" s="394" cm="1">
        <f t="array" ref="F6">_FV(E6,"Price")</f>
        <v>106.33</v>
      </c>
      <c r="G6" s="469" cm="1">
        <f t="array" ref="G6">_FV(E6,"P/E",TRUE)</f>
        <v>25.616700000000002</v>
      </c>
      <c r="H6" s="394" cm="1">
        <f t="array" ref="H6">_FV(E6,"52 week high",TRUE)</f>
        <v>145</v>
      </c>
      <c r="I6" s="394" cm="1">
        <f t="array" ref="I6">_FV(E6,"52 week low",TRUE)</f>
        <v>97.62</v>
      </c>
      <c r="J6" s="469" t="s">
        <v>319</v>
      </c>
      <c r="K6" s="394">
        <v>106.75</v>
      </c>
      <c r="L6" s="394">
        <v>31.03</v>
      </c>
      <c r="M6" s="394">
        <f>99.85/28.5</f>
        <v>3.5035087719298246</v>
      </c>
      <c r="N6" s="394">
        <f t="shared" si="0"/>
        <v>108.71387719298247</v>
      </c>
      <c r="O6" s="389">
        <f>MIN(K6,N6,P6)</f>
        <v>106.75</v>
      </c>
      <c r="P6" s="389">
        <f>AVERAGE(K6,N6)</f>
        <v>107.73193859649123</v>
      </c>
      <c r="Q6" s="63">
        <f t="shared" si="1"/>
        <v>1.3184788831855868E-2</v>
      </c>
      <c r="R6" s="63">
        <f t="shared" si="2"/>
        <v>3.9499670836076525E-3</v>
      </c>
      <c r="S6" s="469">
        <v>17.53</v>
      </c>
      <c r="T6" s="469">
        <f t="shared" si="3"/>
        <v>1.4613063320022819</v>
      </c>
    </row>
    <row r="7" spans="4:20" x14ac:dyDescent="0.25">
      <c r="D7" s="581"/>
      <c r="E7" s="46" t="e" vm="123">
        <v>#VALUE!</v>
      </c>
      <c r="F7" s="394" cm="1">
        <f t="array" ref="F7">_FV(E7,"Price")</f>
        <v>223.59</v>
      </c>
      <c r="G7" s="469" cm="1">
        <f t="array" ref="G7">_FV(E7,"P/E",TRUE)</f>
        <v>16.210699999999999</v>
      </c>
      <c r="H7" s="394" cm="1">
        <f t="array" ref="H7">_FV(E7,"52 week high",TRUE)</f>
        <v>384.33</v>
      </c>
      <c r="I7" s="394" cm="1">
        <f t="array" ref="I7">_FV(E7,"52 week low",TRUE)</f>
        <v>185.82</v>
      </c>
      <c r="J7" s="469">
        <v>368.9</v>
      </c>
      <c r="K7" s="394">
        <v>369.73</v>
      </c>
      <c r="L7" s="394">
        <v>26.32</v>
      </c>
      <c r="M7" s="394">
        <v>10.220000000000001</v>
      </c>
      <c r="N7" s="394">
        <f t="shared" si="0"/>
        <v>268.99040000000002</v>
      </c>
      <c r="O7" s="389">
        <f t="shared" ref="O7:O10" si="4">MIN(J7,K7,N7,P7)</f>
        <v>268.99040000000002</v>
      </c>
      <c r="P7" s="389">
        <f t="shared" ref="P7:P10" si="5">AVERAGE(J7,K7,N7)</f>
        <v>335.87346666666667</v>
      </c>
      <c r="Q7" s="63">
        <f t="shared" si="1"/>
        <v>0.50218465345796626</v>
      </c>
      <c r="R7" s="63">
        <f t="shared" si="2"/>
        <v>0.20305201484860691</v>
      </c>
      <c r="S7" s="469">
        <v>32.65</v>
      </c>
      <c r="T7" s="469">
        <f t="shared" si="3"/>
        <v>0.49649923430321591</v>
      </c>
    </row>
    <row r="8" spans="4:20" x14ac:dyDescent="0.25">
      <c r="D8" s="581"/>
      <c r="E8" s="46" t="e" vm="124">
        <v>#VALUE!</v>
      </c>
      <c r="F8" s="394" cm="1">
        <f t="array" ref="F8">_FV(E8,"Price")</f>
        <v>3379.81</v>
      </c>
      <c r="G8" s="469" cm="1">
        <f t="array" ref="G8">_FV(E8,"P/E",TRUE)</f>
        <v>52.226700000000001</v>
      </c>
      <c r="H8" s="394" cm="1">
        <f t="array" ref="H8">_FV(E8,"52 week high",TRUE)</f>
        <v>3773.0781999999999</v>
      </c>
      <c r="I8" s="394" cm="1">
        <f t="array" ref="I8">_FV(E8,"52 week low",TRUE)</f>
        <v>2671.45</v>
      </c>
      <c r="J8" s="469">
        <v>4196.3900000000003</v>
      </c>
      <c r="K8" s="394">
        <v>4112.0600000000004</v>
      </c>
      <c r="L8" s="394">
        <v>60.49</v>
      </c>
      <c r="M8" s="394">
        <v>42.64</v>
      </c>
      <c r="N8" s="394">
        <f t="shared" si="0"/>
        <v>2579.2936</v>
      </c>
      <c r="O8" s="389">
        <f t="shared" si="4"/>
        <v>2579.2936</v>
      </c>
      <c r="P8" s="389">
        <f t="shared" si="5"/>
        <v>3629.2478666666671</v>
      </c>
      <c r="Q8" s="63">
        <f t="shared" si="1"/>
        <v>7.3802334056253791E-2</v>
      </c>
      <c r="R8" s="63">
        <f t="shared" si="2"/>
        <v>-0.23685248579062138</v>
      </c>
      <c r="S8" s="469">
        <v>136.97999999999999</v>
      </c>
      <c r="T8" s="469">
        <f t="shared" si="3"/>
        <v>0.38127244853263254</v>
      </c>
    </row>
    <row r="9" spans="4:20" x14ac:dyDescent="0.25">
      <c r="D9" s="581"/>
      <c r="E9" s="46" t="e" vm="125">
        <v>#VALUE!</v>
      </c>
      <c r="F9" s="394" cm="1">
        <f t="array" ref="F9">_FV(E9,"Price")</f>
        <v>450.01</v>
      </c>
      <c r="G9" s="469" cm="1">
        <f t="array" ref="G9">_FV(E9,"P/E",TRUE)</f>
        <v>44.694400000000002</v>
      </c>
      <c r="H9" s="394" cm="1">
        <f t="array" ref="H9">_FV(E9,"52 week high",TRUE)</f>
        <v>699.54</v>
      </c>
      <c r="I9" s="394" cm="1">
        <f t="array" ref="I9">_FV(E9,"52 week low",TRUE)</f>
        <v>407.94</v>
      </c>
      <c r="J9" s="469">
        <v>571.9</v>
      </c>
      <c r="K9" s="394">
        <v>557.13</v>
      </c>
      <c r="L9" s="394">
        <v>41.01</v>
      </c>
      <c r="M9" s="394">
        <v>10.94</v>
      </c>
      <c r="N9" s="394">
        <f t="shared" ref="N9" si="6">L9*M9</f>
        <v>448.64939999999996</v>
      </c>
      <c r="O9" s="389">
        <f t="shared" ref="O9" si="7">MIN(J9,K9,N9,P9)</f>
        <v>448.64939999999996</v>
      </c>
      <c r="P9" s="389">
        <f t="shared" ref="P9" si="8">AVERAGE(J9,K9,N9)</f>
        <v>525.89313333333337</v>
      </c>
      <c r="Q9" s="63">
        <f t="shared" ref="Q9" si="9">(P9-F9)/F9</f>
        <v>0.16862543795323076</v>
      </c>
      <c r="R9" s="63">
        <f t="shared" ref="R9" si="10">(O9-F9)/F9</f>
        <v>-3.023488366925254E-3</v>
      </c>
      <c r="S9" s="469">
        <v>50.83</v>
      </c>
      <c r="T9" s="469">
        <f t="shared" si="3"/>
        <v>0.87929175683651395</v>
      </c>
    </row>
    <row r="10" spans="4:20" x14ac:dyDescent="0.25">
      <c r="D10" s="581"/>
      <c r="E10" s="46" t="e" vm="126">
        <v>#VALUE!</v>
      </c>
      <c r="F10" s="394" cm="1">
        <f t="array" ref="F10">_FV(E10,"Price")</f>
        <v>146</v>
      </c>
      <c r="G10" s="469" cm="1">
        <f t="array" ref="G10">_FV(E10,"P/E",TRUE)</f>
        <v>29.939</v>
      </c>
      <c r="H10" s="394" cm="1">
        <f t="array" ref="H10">_FV(E10,"52 week high",TRUE)</f>
        <v>152.57</v>
      </c>
      <c r="I10" s="394" cm="1">
        <f t="array" ref="I10">_FV(E10,"52 week low",TRUE)</f>
        <v>132.01</v>
      </c>
      <c r="J10" s="469">
        <v>157.63999999999999</v>
      </c>
      <c r="K10" s="394">
        <v>154.88</v>
      </c>
      <c r="L10" s="394">
        <v>25.54</v>
      </c>
      <c r="M10" s="394">
        <v>5.22</v>
      </c>
      <c r="N10" s="394">
        <f t="shared" si="0"/>
        <v>133.31879999999998</v>
      </c>
      <c r="O10" s="389">
        <f t="shared" si="4"/>
        <v>133.31879999999998</v>
      </c>
      <c r="P10" s="389">
        <f t="shared" si="5"/>
        <v>148.61293333333333</v>
      </c>
      <c r="Q10" s="63">
        <f t="shared" si="1"/>
        <v>1.7896803652968019E-2</v>
      </c>
      <c r="R10" s="63">
        <f t="shared" si="2"/>
        <v>-8.6857534246575469E-2</v>
      </c>
      <c r="S10" s="469">
        <v>25.04</v>
      </c>
      <c r="T10" s="469">
        <f t="shared" si="3"/>
        <v>1.19564696485623</v>
      </c>
    </row>
    <row r="11" spans="4:20" x14ac:dyDescent="0.25">
      <c r="D11" s="581"/>
      <c r="E11" s="46" t="e" vm="127">
        <v>#VALUE!</v>
      </c>
      <c r="F11" s="394" cm="1">
        <f t="array" ref="F11">_FV(E11,"Price")</f>
        <v>115.09</v>
      </c>
      <c r="G11" s="469" cm="1">
        <f t="array" ref="G11">_FV(E11,"P/E",TRUE)</f>
        <v>30.642099999999999</v>
      </c>
      <c r="H11" s="394" cm="1">
        <f t="array" ref="H11">_FV(E11,"52 week high",TRUE)</f>
        <v>245.69</v>
      </c>
      <c r="I11" s="394" cm="1">
        <f t="array" ref="I11">_FV(E11,"52 week low",TRUE)</f>
        <v>73.28</v>
      </c>
      <c r="J11" s="469" t="s">
        <v>319</v>
      </c>
      <c r="K11" s="394">
        <v>322.25</v>
      </c>
      <c r="L11" s="394">
        <v>19.23</v>
      </c>
      <c r="M11" s="394">
        <f>56.8/6.55</f>
        <v>8.6717557251908399</v>
      </c>
      <c r="N11" s="394">
        <f t="shared" si="0"/>
        <v>166.75786259541985</v>
      </c>
      <c r="O11" s="389">
        <f t="shared" ref="O11:O13" si="11">MIN(K11,N11,P11)</f>
        <v>166.75786259541985</v>
      </c>
      <c r="P11" s="389">
        <f t="shared" ref="P11:P13" si="12">AVERAGE(K11,N11)</f>
        <v>244.50393129770993</v>
      </c>
      <c r="Q11" s="63">
        <f t="shared" si="1"/>
        <v>1.1244585220063421</v>
      </c>
      <c r="R11" s="63">
        <f t="shared" si="2"/>
        <v>0.44893442171708964</v>
      </c>
      <c r="S11" s="469">
        <v>36.32</v>
      </c>
      <c r="T11" s="469">
        <f t="shared" si="3"/>
        <v>0.843670154185022</v>
      </c>
    </row>
    <row r="12" spans="4:20" x14ac:dyDescent="0.25">
      <c r="D12" s="569"/>
      <c r="E12" s="46" t="e" vm="128">
        <v>#VALUE!</v>
      </c>
      <c r="F12" s="394" cm="1">
        <f t="array" ref="F12">_FV(E12,"Price")</f>
        <v>79.86</v>
      </c>
      <c r="G12" s="469" cm="1">
        <f t="array" ref="G12">_FV(E12,"P/E",TRUE)</f>
        <v>12.1791</v>
      </c>
      <c r="H12" s="394" cm="1">
        <f t="array" ref="H12">_FV(E12,"52 week high",TRUE)</f>
        <v>98.45</v>
      </c>
      <c r="I12" s="394" cm="1">
        <f t="array" ref="I12">_FV(E12,"52 week low",TRUE)</f>
        <v>65.67</v>
      </c>
      <c r="J12" s="469">
        <v>118.58</v>
      </c>
      <c r="K12" s="394">
        <v>114.31</v>
      </c>
      <c r="L12" s="394">
        <v>13.2</v>
      </c>
      <c r="M12" s="394">
        <v>3.63</v>
      </c>
      <c r="N12" s="394">
        <f t="shared" ref="N12" si="13">L12*M12</f>
        <v>47.915999999999997</v>
      </c>
      <c r="O12" s="389">
        <f t="shared" ref="O12" si="14">MIN(K12,N12,P12)</f>
        <v>47.915999999999997</v>
      </c>
      <c r="P12" s="389">
        <f t="shared" ref="P12" si="15">AVERAGE(K12,N12)</f>
        <v>81.113</v>
      </c>
      <c r="Q12" s="63">
        <f t="shared" ref="Q12" si="16">(P12-F12)/F12</f>
        <v>1.5689957425494616E-2</v>
      </c>
      <c r="R12" s="63">
        <f t="shared" ref="R12" si="17">(O12-F12)/F12</f>
        <v>-0.4</v>
      </c>
      <c r="S12" s="469">
        <v>37.32</v>
      </c>
      <c r="T12" s="469">
        <f t="shared" ref="T12" si="18">G12/S12</f>
        <v>0.32634244372990351</v>
      </c>
    </row>
    <row r="13" spans="4:20" x14ac:dyDescent="0.25">
      <c r="D13" s="569"/>
      <c r="E13" s="151" t="e" vm="129">
        <v>#VALUE!</v>
      </c>
      <c r="F13" s="470" cm="1">
        <f t="array" ref="F13">_FV(E13,"Price")</f>
        <v>147.44999999999999</v>
      </c>
      <c r="G13" s="469" cm="1">
        <f t="array" ref="G13">_FV(E13,"P/E",TRUE)</f>
        <v>31.8459</v>
      </c>
      <c r="H13" s="470" cm="1">
        <f t="array" ref="H13">_FV(E13,"52 week high",TRUE)</f>
        <v>228.53</v>
      </c>
      <c r="I13" s="470" cm="1">
        <f t="array" ref="I13">_FV(E13,"52 week low",TRUE)</f>
        <v>102.18</v>
      </c>
      <c r="J13" s="471" t="s">
        <v>319</v>
      </c>
      <c r="K13" s="470">
        <v>273.27</v>
      </c>
      <c r="L13" s="470">
        <v>17.600000000000001</v>
      </c>
      <c r="M13" s="470">
        <f>67.1/6.55</f>
        <v>10.244274809160304</v>
      </c>
      <c r="N13" s="470">
        <f t="shared" si="0"/>
        <v>180.29923664122137</v>
      </c>
      <c r="O13" s="389">
        <f t="shared" si="11"/>
        <v>180.29923664122137</v>
      </c>
      <c r="P13" s="389">
        <f t="shared" si="12"/>
        <v>226.78461832061066</v>
      </c>
      <c r="Q13" s="63">
        <f t="shared" si="1"/>
        <v>0.53804420698956035</v>
      </c>
      <c r="R13" s="63">
        <f t="shared" si="2"/>
        <v>0.22278220848573335</v>
      </c>
      <c r="S13" s="469">
        <v>37.56</v>
      </c>
      <c r="T13" s="469">
        <f t="shared" si="3"/>
        <v>0.84786741214057504</v>
      </c>
    </row>
    <row r="14" spans="4:20" x14ac:dyDescent="0.25">
      <c r="D14" s="177"/>
      <c r="E14" s="98"/>
      <c r="F14" s="420"/>
      <c r="G14" s="475"/>
      <c r="H14" s="420"/>
      <c r="I14" s="420"/>
      <c r="J14" s="475"/>
      <c r="K14" s="420"/>
      <c r="L14" s="420"/>
      <c r="M14" s="420"/>
      <c r="N14" s="420"/>
      <c r="O14" s="98"/>
      <c r="P14" s="98"/>
      <c r="Q14" s="199"/>
      <c r="R14" s="199"/>
      <c r="S14" s="469"/>
      <c r="T14" s="469"/>
    </row>
    <row r="15" spans="4:20" x14ac:dyDescent="0.25">
      <c r="D15" s="568" t="s">
        <v>38</v>
      </c>
      <c r="E15" s="51" t="e" vm="130">
        <v>#VALUE!</v>
      </c>
      <c r="F15" s="472" cm="1">
        <f t="array" ref="F15">_FV(E15,"Price")</f>
        <v>120.24</v>
      </c>
      <c r="G15" s="469" cm="1">
        <f t="array" ref="G15">_FV(E15,"P/E",TRUE)</f>
        <v>46.713999999999999</v>
      </c>
      <c r="H15" s="472" cm="1">
        <f t="array" ref="H15">_FV(E15,"52 week high",TRUE)</f>
        <v>164.4599</v>
      </c>
      <c r="I15" s="472" cm="1">
        <f t="array" ref="I15">_FV(E15,"52 week low",TRUE)</f>
        <v>72.5</v>
      </c>
      <c r="J15" s="473">
        <v>104.92</v>
      </c>
      <c r="K15" s="472">
        <v>97.24</v>
      </c>
      <c r="L15" s="472">
        <v>40.869999999999997</v>
      </c>
      <c r="M15" s="472">
        <v>2.1</v>
      </c>
      <c r="N15" s="472">
        <f t="shared" si="0"/>
        <v>85.826999999999998</v>
      </c>
      <c r="O15" s="389">
        <v>62</v>
      </c>
      <c r="P15" s="389">
        <f>AVERAGE(J15,K15,N15)</f>
        <v>95.995666666666651</v>
      </c>
      <c r="Q15" s="63">
        <f t="shared" si="1"/>
        <v>-0.20163284542027066</v>
      </c>
      <c r="R15" s="63">
        <f t="shared" si="2"/>
        <v>-0.48436460412508314</v>
      </c>
      <c r="S15" s="469">
        <v>102.49</v>
      </c>
      <c r="T15" s="469">
        <f t="shared" si="3"/>
        <v>0.45579080885940093</v>
      </c>
    </row>
    <row r="16" spans="4:20" x14ac:dyDescent="0.25">
      <c r="D16" s="581"/>
      <c r="E16" s="46" t="e" vm="131">
        <v>#VALUE!</v>
      </c>
      <c r="F16" s="394" cm="1">
        <f t="array" ref="F16">_FV(E16,"Price")</f>
        <v>69.819999999999993</v>
      </c>
      <c r="G16" s="469" cm="1">
        <f t="array" ref="G16">_FV(E16,"P/E",TRUE)</f>
        <v>0</v>
      </c>
      <c r="H16" s="394" cm="1">
        <f t="array" ref="H16">_FV(E16,"52 week high",TRUE)</f>
        <v>194.99</v>
      </c>
      <c r="I16" s="394" cm="1">
        <f t="array" ref="I16">_FV(E16,"52 week low",TRUE)</f>
        <v>50.08</v>
      </c>
      <c r="J16" s="469">
        <v>295.81</v>
      </c>
      <c r="K16" s="394">
        <v>243.53</v>
      </c>
      <c r="L16" s="394">
        <v>0</v>
      </c>
      <c r="M16" s="394">
        <v>0</v>
      </c>
      <c r="N16" s="394">
        <f t="shared" si="0"/>
        <v>0</v>
      </c>
      <c r="O16" s="389">
        <f>I16</f>
        <v>50.08</v>
      </c>
      <c r="P16" s="389">
        <f>AVERAGE(J16,K16)</f>
        <v>269.67</v>
      </c>
      <c r="Q16" s="63">
        <f t="shared" si="1"/>
        <v>2.8623603551990842</v>
      </c>
      <c r="R16" s="63">
        <f t="shared" si="2"/>
        <v>-0.2827270123173875</v>
      </c>
      <c r="S16" s="469">
        <v>0</v>
      </c>
      <c r="T16" s="469">
        <v>0</v>
      </c>
    </row>
    <row r="17" spans="4:20" x14ac:dyDescent="0.25">
      <c r="D17" s="569"/>
      <c r="E17" s="151" t="e" vm="56">
        <v>#VALUE!</v>
      </c>
      <c r="F17" s="470" cm="1">
        <f t="array" ref="F17">_FV(E17,"Price")</f>
        <v>59.77</v>
      </c>
      <c r="G17" s="469" cm="1">
        <f t="array" ref="G17">_FV(E17,"P/E",TRUE)</f>
        <v>24.939399999999999</v>
      </c>
      <c r="H17" s="470" cm="1">
        <f t="array" ref="H17">_FV(E17,"52 week high",TRUE)</f>
        <v>92.69</v>
      </c>
      <c r="I17" s="470" cm="1">
        <f t="array" ref="I17">_FV(E17,"52 week low",TRUE)</f>
        <v>41.56</v>
      </c>
      <c r="J17" s="471" t="s">
        <v>319</v>
      </c>
      <c r="K17" s="470">
        <v>99.47</v>
      </c>
      <c r="L17" s="470">
        <v>38.71</v>
      </c>
      <c r="M17" s="470">
        <f>32.7/6.55</f>
        <v>4.992366412213741</v>
      </c>
      <c r="N17" s="470">
        <f t="shared" si="0"/>
        <v>193.25450381679391</v>
      </c>
      <c r="O17" s="389">
        <v>67</v>
      </c>
      <c r="P17" s="389">
        <f>AVERAGE(K17,N17)</f>
        <v>146.36225190839696</v>
      </c>
      <c r="Q17" s="63">
        <f t="shared" si="1"/>
        <v>1.4487577699246603</v>
      </c>
      <c r="R17" s="63">
        <f t="shared" si="2"/>
        <v>0.12096369416095025</v>
      </c>
      <c r="S17" s="469">
        <v>47.57</v>
      </c>
      <c r="T17" s="469">
        <f t="shared" si="3"/>
        <v>0.52426739541727974</v>
      </c>
    </row>
    <row r="18" spans="4:20" x14ac:dyDescent="0.25">
      <c r="D18" s="177"/>
      <c r="E18" s="98"/>
      <c r="F18" s="420"/>
      <c r="G18" s="475"/>
      <c r="H18" s="420"/>
      <c r="I18" s="420"/>
      <c r="J18" s="475"/>
      <c r="K18" s="420"/>
      <c r="L18" s="420"/>
      <c r="M18" s="420"/>
      <c r="N18" s="420"/>
      <c r="O18" s="98"/>
      <c r="P18" s="98"/>
      <c r="Q18" s="199"/>
      <c r="R18" s="199"/>
      <c r="S18" s="469"/>
      <c r="T18" s="469"/>
    </row>
    <row r="19" spans="4:20" x14ac:dyDescent="0.25">
      <c r="D19" s="568" t="s">
        <v>39</v>
      </c>
      <c r="E19" s="51" t="e" vm="132">
        <v>#VALUE!</v>
      </c>
      <c r="F19" s="472" cm="1">
        <f t="array" ref="F19">_FV(E19,"Price")</f>
        <v>21.21</v>
      </c>
      <c r="G19" s="469" cm="1">
        <f t="array" ref="G19">_FV(E19,"P/E",TRUE)</f>
        <v>0</v>
      </c>
      <c r="H19" s="472" cm="1">
        <f t="array" ref="H19">_FV(E19,"52 week high",TRUE)</f>
        <v>55.13</v>
      </c>
      <c r="I19" s="472" cm="1">
        <f t="array" ref="I19">_FV(E19,"52 week low",TRUE)</f>
        <v>13.01</v>
      </c>
      <c r="J19" s="473" t="s">
        <v>319</v>
      </c>
      <c r="K19" s="472">
        <v>50.78</v>
      </c>
      <c r="L19" s="472">
        <v>0</v>
      </c>
      <c r="M19" s="472">
        <v>0</v>
      </c>
      <c r="N19" s="472">
        <f t="shared" si="0"/>
        <v>0</v>
      </c>
      <c r="O19" s="389">
        <v>20</v>
      </c>
      <c r="P19" s="474">
        <f>K19</f>
        <v>50.78</v>
      </c>
      <c r="Q19" s="63">
        <f t="shared" si="1"/>
        <v>1.3941537010843941</v>
      </c>
      <c r="R19" s="63">
        <f t="shared" si="2"/>
        <v>-5.7048561999057085E-2</v>
      </c>
      <c r="S19" s="469">
        <v>0</v>
      </c>
      <c r="T19" s="469">
        <v>0</v>
      </c>
    </row>
    <row r="20" spans="4:20" x14ac:dyDescent="0.25">
      <c r="D20" s="581"/>
      <c r="E20" s="46" t="e" vm="133">
        <v>#VALUE!</v>
      </c>
      <c r="F20" s="394" cm="1">
        <f t="array" ref="F20">_FV(E20,"Price")</f>
        <v>27.13</v>
      </c>
      <c r="G20" s="469" cm="1">
        <f t="array" ref="G20">_FV(E20,"P/E",TRUE)</f>
        <v>0</v>
      </c>
      <c r="H20" s="394" cm="1">
        <f t="array" ref="H20">_FV(E20,"52 week high",TRUE)</f>
        <v>56.45</v>
      </c>
      <c r="I20" s="394" cm="1">
        <f t="array" ref="I20">_FV(E20,"52 week low",TRUE)</f>
        <v>18.010000000000002</v>
      </c>
      <c r="J20" s="469" t="s">
        <v>319</v>
      </c>
      <c r="K20" s="394">
        <v>53.4</v>
      </c>
      <c r="L20" s="394">
        <v>0</v>
      </c>
      <c r="M20" s="394">
        <v>0</v>
      </c>
      <c r="N20" s="394">
        <f t="shared" si="0"/>
        <v>0</v>
      </c>
      <c r="O20" s="389">
        <v>22</v>
      </c>
      <c r="P20" s="389">
        <f>K20</f>
        <v>53.4</v>
      </c>
      <c r="Q20" s="63">
        <f t="shared" si="1"/>
        <v>0.96830077405086623</v>
      </c>
      <c r="R20" s="63">
        <f t="shared" si="2"/>
        <v>-0.1890895687430888</v>
      </c>
      <c r="S20" s="469">
        <v>0</v>
      </c>
      <c r="T20" s="469">
        <v>0</v>
      </c>
    </row>
    <row r="21" spans="4:20" x14ac:dyDescent="0.25">
      <c r="D21" s="581"/>
      <c r="E21" s="46" t="e" vm="134">
        <v>#VALUE!</v>
      </c>
      <c r="F21" s="394" cm="1">
        <f t="array" ref="F21">_FV(E21,"Price")</f>
        <v>71.180000000000007</v>
      </c>
      <c r="G21" s="469" cm="1">
        <f t="array" ref="G21">_FV(E21,"P/E",TRUE)</f>
        <v>0</v>
      </c>
      <c r="H21" s="394" cm="1">
        <f t="array" ref="H21">_FV(E21,"52 week high",TRUE)</f>
        <v>90.57</v>
      </c>
      <c r="I21" s="394" cm="1">
        <f t="array" ref="I21">_FV(E21,"52 week low",TRUE)</f>
        <v>49.67</v>
      </c>
      <c r="J21" s="469" t="s">
        <v>319</v>
      </c>
      <c r="K21" s="394">
        <v>149.72999999999999</v>
      </c>
      <c r="L21" s="394">
        <v>1062.8800000000001</v>
      </c>
      <c r="M21" s="394">
        <v>0</v>
      </c>
      <c r="N21" s="394">
        <f t="shared" si="0"/>
        <v>0</v>
      </c>
      <c r="O21" s="389">
        <f>I21</f>
        <v>49.67</v>
      </c>
      <c r="P21" s="389">
        <f>K21</f>
        <v>149.72999999999999</v>
      </c>
      <c r="Q21" s="63">
        <f t="shared" si="1"/>
        <v>1.1035403203146947</v>
      </c>
      <c r="R21" s="63">
        <f t="shared" si="2"/>
        <v>-0.30219162686147799</v>
      </c>
      <c r="S21" s="469">
        <v>0</v>
      </c>
      <c r="T21" s="469">
        <v>0</v>
      </c>
    </row>
    <row r="24" spans="4:20" x14ac:dyDescent="0.25">
      <c r="E24" s="46"/>
      <c r="F24" s="467" t="s">
        <v>13</v>
      </c>
      <c r="G24" s="467" t="s">
        <v>154</v>
      </c>
    </row>
    <row r="25" spans="4:20" x14ac:dyDescent="0.25">
      <c r="E25" s="46" t="s">
        <v>325</v>
      </c>
      <c r="F25" s="200">
        <f>'SG Portfolio'!D4</f>
        <v>23110</v>
      </c>
      <c r="G25" s="200">
        <f>F25/'Fee and Margin'!$D$2</f>
        <v>30813.333333333332</v>
      </c>
    </row>
    <row r="26" spans="4:20" x14ac:dyDescent="0.25">
      <c r="E26" s="46" t="s">
        <v>326</v>
      </c>
      <c r="F26" s="200">
        <f>G26*'Fee and Margin'!$D$2*F31*'Fee and Margin'!D25+G26*'Fee and Margin'!$D$2*F32*'Fee and Margin'!D26+G26*'Fee and Margin'!$D$2*F33*'Fee and Margin'!D27</f>
        <v>64687.5</v>
      </c>
      <c r="G26" s="200">
        <f>'Fee and Margin'!D16</f>
        <v>150000</v>
      </c>
    </row>
    <row r="27" spans="4:20" x14ac:dyDescent="0.25">
      <c r="E27" s="46" t="s">
        <v>5</v>
      </c>
      <c r="F27" s="197">
        <f>F25+F26</f>
        <v>87797.5</v>
      </c>
      <c r="G27" s="200">
        <f>F27/'Fee and Margin'!$D$2</f>
        <v>117063.33333333333</v>
      </c>
      <c r="S27" s="39" t="s">
        <v>32</v>
      </c>
    </row>
    <row r="30" spans="4:20" x14ac:dyDescent="0.25">
      <c r="E30" s="467" t="s">
        <v>320</v>
      </c>
      <c r="F30" s="467" t="s">
        <v>327</v>
      </c>
      <c r="G30" s="467" t="s">
        <v>329</v>
      </c>
      <c r="H30" s="467" t="s">
        <v>54</v>
      </c>
      <c r="I30" s="467" t="s">
        <v>332</v>
      </c>
      <c r="J30" s="467" t="s">
        <v>328</v>
      </c>
      <c r="K30" s="467" t="s">
        <v>330</v>
      </c>
      <c r="L30" s="467" t="s">
        <v>331</v>
      </c>
    </row>
    <row r="31" spans="4:20" x14ac:dyDescent="0.25">
      <c r="E31" s="468" t="s">
        <v>37</v>
      </c>
      <c r="F31" s="85">
        <v>0.5</v>
      </c>
      <c r="G31" s="197">
        <f>F31*$F$27</f>
        <v>43898.75</v>
      </c>
      <c r="H31" s="50">
        <v>0.05</v>
      </c>
      <c r="I31" s="50">
        <f>H31*G31/($F$25*F31)</f>
        <v>0.18995564690610126</v>
      </c>
      <c r="J31" s="200">
        <v>3</v>
      </c>
      <c r="K31" s="200">
        <f>'SG Portfolio'!E17</f>
        <v>39065.198076923079</v>
      </c>
      <c r="L31" s="200">
        <f>G31-K31</f>
        <v>4833.5519230769205</v>
      </c>
    </row>
    <row r="32" spans="4:20" x14ac:dyDescent="0.25">
      <c r="E32" s="468" t="s">
        <v>38</v>
      </c>
      <c r="F32" s="85">
        <v>0.45</v>
      </c>
      <c r="G32" s="197">
        <f t="shared" ref="G32:G33" si="19">F32*$F$27</f>
        <v>39508.875</v>
      </c>
      <c r="H32" s="50">
        <v>0.1</v>
      </c>
      <c r="I32" s="50">
        <f t="shared" ref="I32:I33" si="20">H32*G32/($F$25*F32)</f>
        <v>0.37991129381220251</v>
      </c>
      <c r="J32" s="200">
        <v>1</v>
      </c>
      <c r="K32" s="200" t="e">
        <f>'SG Portfolio'!#REF!</f>
        <v>#REF!</v>
      </c>
      <c r="L32" s="200" t="e">
        <f>G32-K32</f>
        <v>#REF!</v>
      </c>
    </row>
    <row r="33" spans="4:18" x14ac:dyDescent="0.25">
      <c r="E33" s="468" t="s">
        <v>39</v>
      </c>
      <c r="F33" s="85">
        <v>0.05</v>
      </c>
      <c r="G33" s="197">
        <f t="shared" si="19"/>
        <v>4389.875</v>
      </c>
      <c r="H33" s="50">
        <v>0.15</v>
      </c>
      <c r="I33" s="50">
        <f t="shared" si="20"/>
        <v>0.56986694071830368</v>
      </c>
      <c r="J33" s="200">
        <v>1</v>
      </c>
      <c r="K33" s="200" t="e">
        <f>'SG Portfolio'!#REF!</f>
        <v>#REF!</v>
      </c>
      <c r="L33" s="200" t="e">
        <f>G33-K33</f>
        <v>#REF!</v>
      </c>
    </row>
    <row r="34" spans="4:18" x14ac:dyDescent="0.25">
      <c r="E34" s="468" t="s">
        <v>5</v>
      </c>
      <c r="F34" s="85">
        <f>SUM(F31:F33)</f>
        <v>1</v>
      </c>
      <c r="G34" s="200">
        <f t="shared" ref="G34:L34" si="21">SUM(G31:G33)</f>
        <v>87797.5</v>
      </c>
      <c r="H34" s="50">
        <f>$F$31*H31+$F$32*H32+$F$33*H33</f>
        <v>7.7500000000000013E-2</v>
      </c>
      <c r="I34" s="50">
        <f>$F$31*I31+$F$32*I32+$F$33*I33</f>
        <v>0.29443125270445691</v>
      </c>
      <c r="J34" s="200">
        <f t="shared" si="21"/>
        <v>5</v>
      </c>
      <c r="K34" s="200" t="e">
        <f t="shared" si="21"/>
        <v>#REF!</v>
      </c>
      <c r="L34" s="200" t="e">
        <f t="shared" si="21"/>
        <v>#REF!</v>
      </c>
    </row>
    <row r="35" spans="4:18" x14ac:dyDescent="0.25">
      <c r="H35" s="290"/>
      <c r="I35" s="476">
        <f>I34*F25</f>
        <v>6804.3062499999996</v>
      </c>
    </row>
    <row r="36" spans="4:18" s="43" customFormat="1" x14ac:dyDescent="0.25">
      <c r="D36" s="489"/>
      <c r="H36" s="490"/>
      <c r="I36" s="490"/>
    </row>
    <row r="37" spans="4:18" s="43" customFormat="1" x14ac:dyDescent="0.25">
      <c r="D37" s="489"/>
      <c r="H37" s="490"/>
      <c r="I37" s="490"/>
    </row>
    <row r="38" spans="4:18" x14ac:dyDescent="0.25">
      <c r="K38" s="262"/>
    </row>
    <row r="39" spans="4:18" x14ac:dyDescent="0.25">
      <c r="E39" s="509" t="s">
        <v>356</v>
      </c>
      <c r="F39" s="208" t="s">
        <v>327</v>
      </c>
      <c r="G39" s="208" t="s">
        <v>28</v>
      </c>
      <c r="H39" s="208" t="s">
        <v>365</v>
      </c>
      <c r="I39" s="98" t="s">
        <v>375</v>
      </c>
      <c r="J39" s="98" t="s">
        <v>376</v>
      </c>
      <c r="K39" s="208" t="s">
        <v>366</v>
      </c>
      <c r="L39" s="98"/>
      <c r="M39" s="98"/>
      <c r="N39" s="199"/>
    </row>
    <row r="40" spans="4:18" x14ac:dyDescent="0.25">
      <c r="E40" s="57" t="s">
        <v>357</v>
      </c>
      <c r="F40" s="506">
        <v>0.61799999999999999</v>
      </c>
      <c r="G40" s="507">
        <f>$G$49*F40</f>
        <v>27599.426103589547</v>
      </c>
      <c r="H40" s="315"/>
      <c r="I40" s="541">
        <f>SUM(I41:I43)</f>
        <v>34629.014999999999</v>
      </c>
      <c r="J40" s="541">
        <f>SUM(J41:J43)</f>
        <v>7029.5888964104488</v>
      </c>
      <c r="K40" s="315"/>
      <c r="L40" s="315"/>
      <c r="M40" s="315"/>
      <c r="N40" s="316"/>
    </row>
    <row r="41" spans="4:18" x14ac:dyDescent="0.25">
      <c r="E41" s="493" t="s">
        <v>359</v>
      </c>
      <c r="F41" s="494">
        <f>$F$40/3</f>
        <v>0.20599999999999999</v>
      </c>
      <c r="G41" s="495">
        <f>$G$40/3</f>
        <v>9199.8087011965163</v>
      </c>
      <c r="H41" s="496" t="s">
        <v>367</v>
      </c>
      <c r="I41" s="430">
        <f>'SG Portfolio'!K216</f>
        <v>32749.64</v>
      </c>
      <c r="J41" s="492">
        <f>I41-G41</f>
        <v>23549.831298803481</v>
      </c>
      <c r="K41" s="54" t="s">
        <v>377</v>
      </c>
      <c r="L41" s="54"/>
      <c r="M41" s="54"/>
      <c r="N41" s="248"/>
      <c r="P41" s="290"/>
      <c r="Q41" s="290"/>
      <c r="R41" s="290"/>
    </row>
    <row r="42" spans="4:18" x14ac:dyDescent="0.25">
      <c r="E42" s="493" t="s">
        <v>360</v>
      </c>
      <c r="F42" s="494">
        <f t="shared" ref="F42:F43" si="22">$F$40/3</f>
        <v>0.20599999999999999</v>
      </c>
      <c r="G42" s="495">
        <f t="shared" ref="G42:G43" si="23">$G$40/3</f>
        <v>9199.8087011965163</v>
      </c>
      <c r="H42" s="496" t="s">
        <v>368</v>
      </c>
      <c r="I42" s="430">
        <f>'SG Portfolio'!K214</f>
        <v>1879.375</v>
      </c>
      <c r="J42" s="492">
        <f t="shared" ref="J42:J47" si="24">I42-G42</f>
        <v>-7320.4337011965163</v>
      </c>
      <c r="K42" s="54" t="s">
        <v>416</v>
      </c>
      <c r="L42" s="54"/>
      <c r="M42" s="54"/>
      <c r="N42" s="248"/>
      <c r="P42" s="290"/>
    </row>
    <row r="43" spans="4:18" x14ac:dyDescent="0.25">
      <c r="E43" s="498" t="s">
        <v>361</v>
      </c>
      <c r="F43" s="508">
        <f t="shared" si="22"/>
        <v>0.20599999999999999</v>
      </c>
      <c r="G43" s="500">
        <f t="shared" si="23"/>
        <v>9199.8087011965163</v>
      </c>
      <c r="H43" s="501" t="s">
        <v>374</v>
      </c>
      <c r="I43" s="502">
        <v>0</v>
      </c>
      <c r="J43" s="503">
        <f t="shared" si="24"/>
        <v>-9199.8087011965163</v>
      </c>
      <c r="K43" s="192" t="s">
        <v>378</v>
      </c>
      <c r="L43" s="192"/>
      <c r="M43" s="192"/>
      <c r="N43" s="145"/>
    </row>
    <row r="44" spans="4:18" x14ac:dyDescent="0.25">
      <c r="E44" s="57" t="s">
        <v>358</v>
      </c>
      <c r="F44" s="506">
        <f>1-F40</f>
        <v>0.38200000000000001</v>
      </c>
      <c r="G44" s="507">
        <f>$G$49*F44</f>
        <v>17059.839436199363</v>
      </c>
      <c r="H44" s="491"/>
      <c r="I44" s="541" t="e">
        <f>SUM(I45:I47)</f>
        <v>#REF!</v>
      </c>
      <c r="J44" s="541" t="e">
        <f>SUM(J45:J47)</f>
        <v>#REF!</v>
      </c>
      <c r="K44" s="315"/>
      <c r="L44" s="315"/>
      <c r="M44" s="315"/>
      <c r="N44" s="316"/>
    </row>
    <row r="45" spans="4:18" x14ac:dyDescent="0.25">
      <c r="E45" s="493" t="s">
        <v>362</v>
      </c>
      <c r="F45" s="497">
        <f>$F$44/3</f>
        <v>0.12733333333333333</v>
      </c>
      <c r="G45" s="495">
        <f>$G$44/3</f>
        <v>5686.6131453997878</v>
      </c>
      <c r="H45" s="496" t="s">
        <v>369</v>
      </c>
      <c r="I45" s="430" t="e">
        <f>'SG Portfolio'!#REF!</f>
        <v>#REF!</v>
      </c>
      <c r="J45" s="492" t="e">
        <f t="shared" si="24"/>
        <v>#REF!</v>
      </c>
      <c r="K45" s="54" t="s">
        <v>372</v>
      </c>
      <c r="L45" s="54"/>
      <c r="M45" s="54"/>
      <c r="N45" s="248"/>
      <c r="O45" s="290"/>
      <c r="P45" s="290"/>
    </row>
    <row r="46" spans="4:18" x14ac:dyDescent="0.25">
      <c r="E46" s="493" t="s">
        <v>363</v>
      </c>
      <c r="F46" s="497">
        <f>$F$44/3</f>
        <v>0.12733333333333333</v>
      </c>
      <c r="G46" s="495">
        <f t="shared" ref="G46:G47" si="25">$G$44/3</f>
        <v>5686.6131453997878</v>
      </c>
      <c r="H46" s="496" t="s">
        <v>370</v>
      </c>
      <c r="I46" s="430">
        <f>+'SG Portfolio'!K212</f>
        <v>7212.52</v>
      </c>
      <c r="J46" s="492">
        <f t="shared" si="24"/>
        <v>1525.9068546002127</v>
      </c>
      <c r="K46" s="54" t="s">
        <v>373</v>
      </c>
      <c r="L46" s="54"/>
      <c r="M46" s="54"/>
      <c r="N46" s="248"/>
    </row>
    <row r="47" spans="4:18" x14ac:dyDescent="0.25">
      <c r="E47" s="498" t="s">
        <v>364</v>
      </c>
      <c r="F47" s="499">
        <f>$F$44/3</f>
        <v>0.12733333333333333</v>
      </c>
      <c r="G47" s="500">
        <f t="shared" si="25"/>
        <v>5686.6131453997878</v>
      </c>
      <c r="H47" s="501" t="s">
        <v>371</v>
      </c>
      <c r="I47" s="513" t="e">
        <f>'SG Portfolio'!#REF!+'SG Portfolio'!#REF!+'SG Portfolio'!K210+'SG Portfolio'!#REF!</f>
        <v>#REF!</v>
      </c>
      <c r="J47" s="503" t="e">
        <f t="shared" si="24"/>
        <v>#REF!</v>
      </c>
      <c r="K47" s="192" t="s">
        <v>418</v>
      </c>
      <c r="L47" s="192"/>
      <c r="M47" s="192"/>
      <c r="N47" s="145"/>
      <c r="P47" s="290"/>
    </row>
    <row r="48" spans="4:18" x14ac:dyDescent="0.25">
      <c r="E48" s="59"/>
      <c r="F48" s="54"/>
      <c r="G48" s="54"/>
      <c r="H48" s="54"/>
      <c r="I48" s="54"/>
      <c r="J48" s="54"/>
      <c r="K48" s="54"/>
      <c r="L48" s="54"/>
      <c r="M48" s="54"/>
      <c r="N48" s="248"/>
    </row>
    <row r="49" spans="5:14" x14ac:dyDescent="0.25">
      <c r="E49" s="61" t="s">
        <v>5</v>
      </c>
      <c r="F49" s="504">
        <f>F40+F44</f>
        <v>1</v>
      </c>
      <c r="G49" s="502">
        <f>'SG Portfolio'!D3*1.5</f>
        <v>44659.26553978891</v>
      </c>
      <c r="H49" s="192"/>
      <c r="I49" s="505" t="e">
        <f>SUM(I41:I43,I45:I47)</f>
        <v>#REF!</v>
      </c>
      <c r="J49" s="505" t="e">
        <f>I49-G49</f>
        <v>#REF!</v>
      </c>
      <c r="K49" s="192"/>
      <c r="L49" s="192"/>
      <c r="M49" s="192"/>
      <c r="N49" s="145"/>
    </row>
  </sheetData>
  <mergeCells count="3">
    <mergeCell ref="D4:D13"/>
    <mergeCell ref="D15:D17"/>
    <mergeCell ref="D19:D21"/>
  </mergeCells>
  <pageMargins left="0.7" right="0.7" top="0.75" bottom="0.75" header="0.3" footer="0.3"/>
  <pageSetup paperSize="9" orientation="portrait" horizontalDpi="0" verticalDpi="0" r:id="rId1"/>
  <ignoredErrors>
    <ignoredError sqref="O6:P6 G26"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F911-7C91-49E7-A3D8-B46820B6C614}">
  <sheetPr>
    <tabColor rgb="FF00B050"/>
  </sheetPr>
  <dimension ref="B2:X59"/>
  <sheetViews>
    <sheetView showGridLines="0" topLeftCell="A28" workbookViewId="0">
      <selection activeCell="N54" sqref="N54"/>
    </sheetView>
  </sheetViews>
  <sheetFormatPr defaultColWidth="9.140625" defaultRowHeight="15" x14ac:dyDescent="0.25"/>
  <cols>
    <col min="1" max="1" width="9.140625" style="39"/>
    <col min="2" max="2" width="33" style="39" bestFit="1" customWidth="1"/>
    <col min="3" max="5" width="10.5703125" style="39" bestFit="1" customWidth="1"/>
    <col min="6" max="6" width="13.42578125" style="39" bestFit="1" customWidth="1"/>
    <col min="7" max="12" width="10.5703125" style="39" bestFit="1" customWidth="1"/>
    <col min="13" max="13" width="10.7109375" style="39" bestFit="1" customWidth="1"/>
    <col min="14" max="17" width="10.5703125" style="39" bestFit="1" customWidth="1"/>
    <col min="18" max="18" width="10.7109375" style="39" bestFit="1" customWidth="1"/>
    <col min="19" max="24" width="10.5703125" style="39" bestFit="1" customWidth="1"/>
    <col min="25" max="16384" width="9.140625" style="39"/>
  </cols>
  <sheetData>
    <row r="2" spans="2:24" x14ac:dyDescent="0.25">
      <c r="B2" s="39" t="e" vm="120">
        <v>#VALUE!</v>
      </c>
      <c r="H2" s="323"/>
    </row>
    <row r="3" spans="2:24" x14ac:dyDescent="0.25">
      <c r="B3" s="569"/>
      <c r="C3" s="432">
        <v>2021</v>
      </c>
      <c r="D3" s="570">
        <v>2020</v>
      </c>
      <c r="E3" s="571"/>
      <c r="F3" s="571"/>
      <c r="G3" s="572"/>
      <c r="H3" s="570">
        <v>2019</v>
      </c>
      <c r="I3" s="571"/>
      <c r="J3" s="571"/>
      <c r="K3" s="572"/>
      <c r="L3" s="570">
        <v>2018</v>
      </c>
      <c r="M3" s="571"/>
      <c r="N3" s="571"/>
      <c r="O3" s="572"/>
      <c r="P3" s="570">
        <v>2017</v>
      </c>
      <c r="Q3" s="571"/>
      <c r="R3" s="571"/>
      <c r="S3" s="572"/>
      <c r="T3" s="570">
        <v>2016</v>
      </c>
      <c r="U3" s="571"/>
      <c r="V3" s="571"/>
      <c r="W3" s="572"/>
      <c r="X3" s="432" t="s">
        <v>246</v>
      </c>
    </row>
    <row r="4" spans="2:24" x14ac:dyDescent="0.25">
      <c r="B4" s="568"/>
      <c r="C4" s="432" t="s">
        <v>244</v>
      </c>
      <c r="D4" s="432" t="s">
        <v>232</v>
      </c>
      <c r="E4" s="432" t="s">
        <v>231</v>
      </c>
      <c r="F4" s="432" t="s">
        <v>230</v>
      </c>
      <c r="G4" s="432" t="s">
        <v>229</v>
      </c>
      <c r="H4" s="432" t="s">
        <v>232</v>
      </c>
      <c r="I4" s="432" t="s">
        <v>231</v>
      </c>
      <c r="J4" s="432" t="s">
        <v>230</v>
      </c>
      <c r="K4" s="432" t="s">
        <v>229</v>
      </c>
      <c r="L4" s="432" t="s">
        <v>232</v>
      </c>
      <c r="M4" s="432" t="s">
        <v>231</v>
      </c>
      <c r="N4" s="432" t="s">
        <v>230</v>
      </c>
      <c r="O4" s="432" t="s">
        <v>229</v>
      </c>
      <c r="P4" s="432" t="s">
        <v>232</v>
      </c>
      <c r="Q4" s="432" t="s">
        <v>231</v>
      </c>
      <c r="R4" s="432" t="s">
        <v>230</v>
      </c>
      <c r="S4" s="432" t="s">
        <v>229</v>
      </c>
      <c r="T4" s="432" t="s">
        <v>232</v>
      </c>
      <c r="U4" s="432" t="s">
        <v>231</v>
      </c>
      <c r="V4" s="432" t="s">
        <v>230</v>
      </c>
      <c r="W4" s="432" t="s">
        <v>229</v>
      </c>
      <c r="X4" s="432"/>
    </row>
    <row r="5" spans="2:24" x14ac:dyDescent="0.25">
      <c r="B5" s="46" t="s">
        <v>233</v>
      </c>
      <c r="C5" s="388" cm="1">
        <f t="array" ref="C5">_FV(B2,"Price")</f>
        <v>175.6</v>
      </c>
      <c r="D5" s="388">
        <v>132.49</v>
      </c>
      <c r="E5" s="388">
        <v>108.51</v>
      </c>
      <c r="F5" s="388">
        <v>105.73</v>
      </c>
      <c r="G5" s="388">
        <v>72.89</v>
      </c>
      <c r="H5" s="388">
        <v>72.680000000000007</v>
      </c>
      <c r="I5" s="388">
        <v>61.38</v>
      </c>
      <c r="J5" s="388">
        <v>52.37</v>
      </c>
      <c r="K5" s="388">
        <v>49.14</v>
      </c>
      <c r="L5" s="388">
        <v>38.46</v>
      </c>
      <c r="M5" s="388">
        <v>53.18</v>
      </c>
      <c r="N5" s="388">
        <v>46.07</v>
      </c>
      <c r="O5" s="388">
        <v>39.86</v>
      </c>
      <c r="P5" s="388">
        <v>40.65</v>
      </c>
      <c r="Q5" s="388">
        <v>40.46</v>
      </c>
      <c r="R5" s="388">
        <v>35.46</v>
      </c>
      <c r="S5" s="388">
        <v>34.11</v>
      </c>
      <c r="T5" s="388">
        <v>27.38</v>
      </c>
      <c r="U5" s="388">
        <v>26.71</v>
      </c>
      <c r="V5" s="388">
        <v>24.38</v>
      </c>
      <c r="W5" s="388">
        <v>21.8</v>
      </c>
      <c r="X5" s="46"/>
    </row>
    <row r="6" spans="2:24" x14ac:dyDescent="0.25">
      <c r="B6" s="46" t="s">
        <v>236</v>
      </c>
      <c r="C6" s="388" cm="1">
        <f t="array" ref="C6">_FV(B2,"Shares outstanding",TRUE)/1000000</f>
        <v>16319.44</v>
      </c>
      <c r="D6" s="388">
        <v>17114</v>
      </c>
      <c r="E6" s="388">
        <v>17528</v>
      </c>
      <c r="F6" s="388">
        <v>17419</v>
      </c>
      <c r="G6" s="388">
        <v>17619</v>
      </c>
      <c r="H6" s="388">
        <v>17818</v>
      </c>
      <c r="I6" s="388">
        <v>18596</v>
      </c>
      <c r="J6" s="388">
        <v>18406</v>
      </c>
      <c r="K6" s="388">
        <v>18803</v>
      </c>
      <c r="L6" s="388">
        <v>19093</v>
      </c>
      <c r="M6" s="388">
        <v>20000</v>
      </c>
      <c r="N6" s="388">
        <v>19706</v>
      </c>
      <c r="O6" s="388">
        <v>20274</v>
      </c>
      <c r="P6" s="388">
        <v>20631</v>
      </c>
      <c r="Q6" s="388">
        <v>21007</v>
      </c>
      <c r="R6" s="388">
        <v>20934</v>
      </c>
      <c r="S6" s="388">
        <v>21047</v>
      </c>
      <c r="T6" s="388">
        <v>21312</v>
      </c>
      <c r="U6" s="388">
        <v>22001</v>
      </c>
      <c r="V6" s="388">
        <v>21891</v>
      </c>
      <c r="W6" s="388">
        <v>22164</v>
      </c>
      <c r="X6" s="389">
        <f>AVERAGE(D6:W6)</f>
        <v>19668.150000000001</v>
      </c>
    </row>
    <row r="7" spans="2:24" x14ac:dyDescent="0.25">
      <c r="B7" s="151" t="s">
        <v>222</v>
      </c>
      <c r="C7" s="390">
        <f>C5*C6/1000</f>
        <v>2865.6936639999999</v>
      </c>
      <c r="D7" s="390">
        <f>D5*D6/1000</f>
        <v>2267.4338600000005</v>
      </c>
      <c r="E7" s="390">
        <f t="shared" ref="E7:W7" si="0">E5*E6/1000</f>
        <v>1901.9632799999999</v>
      </c>
      <c r="F7" s="390">
        <f t="shared" si="0"/>
        <v>1841.7108700000001</v>
      </c>
      <c r="G7" s="390">
        <f t="shared" si="0"/>
        <v>1284.24891</v>
      </c>
      <c r="H7" s="390">
        <f t="shared" si="0"/>
        <v>1295.0122400000002</v>
      </c>
      <c r="I7" s="390">
        <f t="shared" si="0"/>
        <v>1141.42248</v>
      </c>
      <c r="J7" s="390">
        <f t="shared" si="0"/>
        <v>963.92221999999992</v>
      </c>
      <c r="K7" s="390">
        <f t="shared" si="0"/>
        <v>923.97942</v>
      </c>
      <c r="L7" s="390">
        <f t="shared" si="0"/>
        <v>734.31677999999999</v>
      </c>
      <c r="M7" s="390">
        <f t="shared" si="0"/>
        <v>1063.5999999999999</v>
      </c>
      <c r="N7" s="390">
        <f t="shared" si="0"/>
        <v>907.85542000000009</v>
      </c>
      <c r="O7" s="390">
        <f t="shared" si="0"/>
        <v>808.12164000000007</v>
      </c>
      <c r="P7" s="390">
        <f t="shared" si="0"/>
        <v>838.65015000000005</v>
      </c>
      <c r="Q7" s="390">
        <f t="shared" si="0"/>
        <v>849.94322</v>
      </c>
      <c r="R7" s="390">
        <f t="shared" si="0"/>
        <v>742.31964000000005</v>
      </c>
      <c r="S7" s="390">
        <f t="shared" si="0"/>
        <v>717.91317000000004</v>
      </c>
      <c r="T7" s="390">
        <f t="shared" si="0"/>
        <v>583.52255999999988</v>
      </c>
      <c r="U7" s="390">
        <f t="shared" si="0"/>
        <v>587.64670999999998</v>
      </c>
      <c r="V7" s="390">
        <f t="shared" si="0"/>
        <v>533.70258000000001</v>
      </c>
      <c r="W7" s="390">
        <f t="shared" si="0"/>
        <v>483.17520000000002</v>
      </c>
      <c r="X7" s="151"/>
    </row>
    <row r="8" spans="2:24" x14ac:dyDescent="0.25">
      <c r="B8" s="96"/>
      <c r="C8" s="391"/>
      <c r="D8" s="391"/>
      <c r="E8" s="391"/>
      <c r="F8" s="391"/>
      <c r="G8" s="391"/>
      <c r="H8" s="391"/>
      <c r="I8" s="391"/>
      <c r="J8" s="391"/>
      <c r="K8" s="391"/>
      <c r="L8" s="391"/>
      <c r="M8" s="391"/>
      <c r="N8" s="391"/>
      <c r="O8" s="391"/>
      <c r="P8" s="391"/>
      <c r="Q8" s="391"/>
      <c r="R8" s="391"/>
      <c r="S8" s="391"/>
      <c r="T8" s="391"/>
      <c r="U8" s="391"/>
      <c r="V8" s="391"/>
      <c r="W8" s="391"/>
      <c r="X8" s="199"/>
    </row>
    <row r="9" spans="2:24" x14ac:dyDescent="0.25">
      <c r="B9" s="51" t="s">
        <v>249</v>
      </c>
      <c r="C9" s="392"/>
      <c r="D9" s="392">
        <v>294.14</v>
      </c>
      <c r="E9" s="392">
        <v>274.52</v>
      </c>
      <c r="F9" s="392">
        <v>273.86</v>
      </c>
      <c r="G9" s="392">
        <v>267.98</v>
      </c>
      <c r="H9" s="392">
        <v>267.68</v>
      </c>
      <c r="I9" s="392">
        <v>260.17</v>
      </c>
      <c r="J9" s="392">
        <v>259.02999999999997</v>
      </c>
      <c r="K9" s="392">
        <v>258.49</v>
      </c>
      <c r="L9" s="392">
        <v>261.61</v>
      </c>
      <c r="M9" s="392">
        <v>265.60000000000002</v>
      </c>
      <c r="N9" s="392">
        <v>255.27</v>
      </c>
      <c r="O9" s="392">
        <v>247.42</v>
      </c>
      <c r="P9" s="392">
        <v>239.18</v>
      </c>
      <c r="Q9" s="392">
        <v>229.23</v>
      </c>
      <c r="R9" s="392">
        <v>223.51</v>
      </c>
      <c r="S9" s="392">
        <v>220.46</v>
      </c>
      <c r="T9" s="392">
        <v>218.12</v>
      </c>
      <c r="U9" s="392">
        <v>215.64</v>
      </c>
      <c r="V9" s="392">
        <v>220.29</v>
      </c>
      <c r="W9" s="392">
        <v>227.54</v>
      </c>
      <c r="X9" s="51"/>
    </row>
    <row r="10" spans="2:24" x14ac:dyDescent="0.25">
      <c r="B10" s="51"/>
      <c r="C10" s="392"/>
      <c r="D10" s="393">
        <f>(D9-E9)/E9</f>
        <v>7.1470202535334426E-2</v>
      </c>
      <c r="E10" s="393">
        <f t="shared" ref="E10:V10" si="1">(E9-F9)/F9</f>
        <v>2.40999050609789E-3</v>
      </c>
      <c r="F10" s="393">
        <f t="shared" si="1"/>
        <v>2.1941935965370533E-2</v>
      </c>
      <c r="G10" s="393">
        <f t="shared" si="1"/>
        <v>1.1207411835027323E-3</v>
      </c>
      <c r="H10" s="393">
        <f t="shared" si="1"/>
        <v>2.8865741630472348E-2</v>
      </c>
      <c r="I10" s="393">
        <f t="shared" si="1"/>
        <v>4.401034629193697E-3</v>
      </c>
      <c r="J10" s="393">
        <f t="shared" si="1"/>
        <v>2.0890556694648289E-3</v>
      </c>
      <c r="K10" s="393">
        <f t="shared" si="1"/>
        <v>-1.1926149612017906E-2</v>
      </c>
      <c r="L10" s="393">
        <f t="shared" si="1"/>
        <v>-1.5022590361445817E-2</v>
      </c>
      <c r="M10" s="393">
        <f t="shared" si="1"/>
        <v>4.0466956555803707E-2</v>
      </c>
      <c r="N10" s="393">
        <f t="shared" si="1"/>
        <v>3.1727427047126437E-2</v>
      </c>
      <c r="O10" s="393">
        <f t="shared" si="1"/>
        <v>3.4451041056944479E-2</v>
      </c>
      <c r="P10" s="393">
        <f t="shared" si="1"/>
        <v>4.3406185926798485E-2</v>
      </c>
      <c r="Q10" s="393">
        <f t="shared" si="1"/>
        <v>2.5591696120978922E-2</v>
      </c>
      <c r="R10" s="393">
        <f t="shared" si="1"/>
        <v>1.383470924430728E-2</v>
      </c>
      <c r="S10" s="393">
        <f t="shared" si="1"/>
        <v>1.0728039611223195E-2</v>
      </c>
      <c r="T10" s="393">
        <f t="shared" si="1"/>
        <v>1.1500649230198563E-2</v>
      </c>
      <c r="U10" s="393">
        <f t="shared" si="1"/>
        <v>-2.110853874438243E-2</v>
      </c>
      <c r="V10" s="393">
        <f t="shared" si="1"/>
        <v>-3.1862529665113826E-2</v>
      </c>
      <c r="W10" s="392"/>
      <c r="X10" s="63">
        <f>AVERAGE(D10:V10)</f>
        <v>1.389924202788724E-2</v>
      </c>
    </row>
    <row r="11" spans="2:24" x14ac:dyDescent="0.25">
      <c r="B11" s="46" t="s">
        <v>234</v>
      </c>
      <c r="C11" s="388"/>
      <c r="D11" s="388">
        <v>114.07</v>
      </c>
      <c r="E11" s="388">
        <v>104.96</v>
      </c>
      <c r="F11" s="388">
        <v>104.58</v>
      </c>
      <c r="G11" s="388">
        <v>102.13</v>
      </c>
      <c r="H11" s="388">
        <v>101.58</v>
      </c>
      <c r="I11" s="388">
        <v>98.39</v>
      </c>
      <c r="J11" s="388">
        <v>98.16</v>
      </c>
      <c r="K11" s="388">
        <v>98.36</v>
      </c>
      <c r="L11" s="388">
        <v>99.96</v>
      </c>
      <c r="M11" s="388">
        <v>101.84</v>
      </c>
      <c r="N11" s="388">
        <v>97.69</v>
      </c>
      <c r="O11" s="388">
        <v>94.75</v>
      </c>
      <c r="P11" s="388">
        <v>91.92</v>
      </c>
      <c r="Q11" s="388">
        <v>88.19</v>
      </c>
      <c r="R11" s="388">
        <v>86.07</v>
      </c>
      <c r="S11" s="388">
        <v>84.69</v>
      </c>
      <c r="T11" s="388">
        <v>84.02</v>
      </c>
      <c r="U11" s="388">
        <v>84.26</v>
      </c>
      <c r="V11" s="388">
        <v>87</v>
      </c>
      <c r="W11" s="388">
        <v>90.57</v>
      </c>
      <c r="X11" s="46"/>
    </row>
    <row r="12" spans="2:24" x14ac:dyDescent="0.25">
      <c r="B12" s="46" t="s">
        <v>235</v>
      </c>
      <c r="C12" s="388"/>
      <c r="D12" s="388">
        <v>76.83</v>
      </c>
      <c r="E12" s="388">
        <v>90.94</v>
      </c>
      <c r="F12" s="388">
        <v>93.03</v>
      </c>
      <c r="G12" s="388">
        <v>94.05</v>
      </c>
      <c r="H12" s="388">
        <v>107.16</v>
      </c>
      <c r="I12" s="388">
        <v>100.56</v>
      </c>
      <c r="J12" s="388">
        <v>94.61</v>
      </c>
      <c r="K12" s="388">
        <v>80.09</v>
      </c>
      <c r="L12" s="388">
        <v>86.43</v>
      </c>
      <c r="M12" s="388">
        <v>66.3</v>
      </c>
      <c r="N12" s="388">
        <v>70.97</v>
      </c>
      <c r="O12" s="388">
        <v>87.94</v>
      </c>
      <c r="P12" s="388">
        <v>77.150000000000006</v>
      </c>
      <c r="Q12" s="388">
        <v>74.180000000000007</v>
      </c>
      <c r="R12" s="388">
        <v>76.760000000000005</v>
      </c>
      <c r="S12" s="388">
        <v>67.099999999999994</v>
      </c>
      <c r="T12" s="388">
        <v>60.45</v>
      </c>
      <c r="U12" s="388">
        <v>67.16</v>
      </c>
      <c r="V12" s="388">
        <v>61.76</v>
      </c>
      <c r="W12" s="388">
        <v>55.28</v>
      </c>
      <c r="X12" s="46"/>
    </row>
    <row r="13" spans="2:24" x14ac:dyDescent="0.25">
      <c r="B13" s="46" t="s">
        <v>239</v>
      </c>
      <c r="C13" s="388"/>
      <c r="D13" s="63">
        <v>0.38779999999999998</v>
      </c>
      <c r="E13" s="63">
        <v>0.38229999999999997</v>
      </c>
      <c r="F13" s="63">
        <v>0.38190000000000002</v>
      </c>
      <c r="G13" s="63">
        <v>0.38109999999999999</v>
      </c>
      <c r="H13" s="63">
        <v>0.3795</v>
      </c>
      <c r="I13" s="63">
        <v>0.37819999999999998</v>
      </c>
      <c r="J13" s="63">
        <v>0.379</v>
      </c>
      <c r="K13" s="63">
        <v>0.3805</v>
      </c>
      <c r="L13" s="63">
        <v>0.3821</v>
      </c>
      <c r="M13" s="63">
        <v>0.38340000000000002</v>
      </c>
      <c r="N13" s="63">
        <v>0.38269999999999998</v>
      </c>
      <c r="O13" s="63">
        <v>0.38300000000000001</v>
      </c>
      <c r="P13" s="63">
        <v>0.38429999999999997</v>
      </c>
      <c r="Q13" s="63">
        <v>0.38469999999999999</v>
      </c>
      <c r="R13" s="63">
        <v>0.3851</v>
      </c>
      <c r="S13" s="63">
        <v>0.3841</v>
      </c>
      <c r="T13" s="63">
        <v>0.38519999999999999</v>
      </c>
      <c r="U13" s="63">
        <v>0.39079999999999998</v>
      </c>
      <c r="V13" s="63">
        <v>0.39489999999999997</v>
      </c>
      <c r="W13" s="63">
        <v>0.39810000000000001</v>
      </c>
      <c r="X13" s="63">
        <f t="shared" ref="X13:X15" si="2">AVERAGE(D13:W13)</f>
        <v>0.38443499999999997</v>
      </c>
    </row>
    <row r="14" spans="2:24" x14ac:dyDescent="0.25">
      <c r="B14" s="46" t="s">
        <v>247</v>
      </c>
      <c r="C14" s="388"/>
      <c r="D14" s="63">
        <v>0.25240000000000001</v>
      </c>
      <c r="E14" s="63">
        <v>0.24149999999999999</v>
      </c>
      <c r="F14" s="63">
        <v>0.2452</v>
      </c>
      <c r="G14" s="63">
        <v>0.24479999999999999</v>
      </c>
      <c r="H14" s="63">
        <v>0.24709999999999999</v>
      </c>
      <c r="I14" s="63">
        <v>0.2457</v>
      </c>
      <c r="J14" s="63">
        <v>0.2487</v>
      </c>
      <c r="K14" s="63">
        <v>0.25340000000000001</v>
      </c>
      <c r="L14" s="63">
        <v>0.25979999999999998</v>
      </c>
      <c r="M14" s="63">
        <v>0.26690000000000003</v>
      </c>
      <c r="N14" s="63">
        <v>0.26600000000000001</v>
      </c>
      <c r="O14" s="63">
        <v>0.26700000000000002</v>
      </c>
      <c r="P14" s="63">
        <v>0.26869999999999999</v>
      </c>
      <c r="Q14" s="63">
        <v>0.2676</v>
      </c>
      <c r="R14" s="63">
        <v>0.26840000000000003</v>
      </c>
      <c r="S14" s="63">
        <v>0.26910000000000001</v>
      </c>
      <c r="T14" s="63">
        <v>0.27150000000000002</v>
      </c>
      <c r="U14" s="63">
        <v>0.27839999999999998</v>
      </c>
      <c r="V14" s="63">
        <v>0.28549999999999998</v>
      </c>
      <c r="W14" s="63">
        <v>0.29389999999999999</v>
      </c>
      <c r="X14" s="63">
        <f t="shared" si="2"/>
        <v>0.26207999999999998</v>
      </c>
    </row>
    <row r="15" spans="2:24" x14ac:dyDescent="0.25">
      <c r="B15" s="46" t="s">
        <v>248</v>
      </c>
      <c r="C15" s="388"/>
      <c r="D15" s="63">
        <v>0.21729999999999999</v>
      </c>
      <c r="E15" s="63">
        <v>0.20910000000000001</v>
      </c>
      <c r="F15" s="63">
        <v>0.21329999999999999</v>
      </c>
      <c r="G15" s="63">
        <v>0.2135</v>
      </c>
      <c r="H15" s="63">
        <v>0.21490000000000001</v>
      </c>
      <c r="I15" s="63">
        <v>0.21240000000000001</v>
      </c>
      <c r="J15" s="63">
        <v>0.215</v>
      </c>
      <c r="K15" s="63">
        <v>0.22120000000000001</v>
      </c>
      <c r="L15" s="63">
        <v>0.22720000000000001</v>
      </c>
      <c r="M15" s="63">
        <v>0.22409999999999999</v>
      </c>
      <c r="N15" s="63">
        <v>0.2198</v>
      </c>
      <c r="O15" s="63">
        <v>0.2155</v>
      </c>
      <c r="P15" s="63">
        <v>0.2112</v>
      </c>
      <c r="Q15" s="63">
        <v>0.2109</v>
      </c>
      <c r="R15" s="63">
        <v>0.2087</v>
      </c>
      <c r="S15" s="63">
        <v>0.2074</v>
      </c>
      <c r="T15" s="63">
        <v>0.20730000000000001</v>
      </c>
      <c r="U15" s="63">
        <v>0.21190000000000001</v>
      </c>
      <c r="V15" s="63">
        <v>0.217</v>
      </c>
      <c r="W15" s="63">
        <v>0.22270000000000001</v>
      </c>
      <c r="X15" s="63">
        <f t="shared" si="2"/>
        <v>0.21501999999999999</v>
      </c>
    </row>
    <row r="16" spans="2:24" x14ac:dyDescent="0.25">
      <c r="B16" s="96"/>
      <c r="C16" s="391"/>
      <c r="D16" s="391"/>
      <c r="E16" s="391"/>
      <c r="F16" s="391"/>
      <c r="G16" s="391"/>
      <c r="H16" s="391"/>
      <c r="I16" s="391"/>
      <c r="J16" s="391"/>
      <c r="K16" s="391"/>
      <c r="L16" s="391"/>
      <c r="M16" s="391"/>
      <c r="N16" s="391"/>
      <c r="O16" s="391"/>
      <c r="P16" s="391"/>
      <c r="Q16" s="391"/>
      <c r="R16" s="391"/>
      <c r="S16" s="391"/>
      <c r="T16" s="391"/>
      <c r="U16" s="391"/>
      <c r="V16" s="391"/>
      <c r="W16" s="391"/>
      <c r="X16" s="199"/>
    </row>
    <row r="17" spans="2:24" x14ac:dyDescent="0.25">
      <c r="B17" s="46" t="s">
        <v>237</v>
      </c>
      <c r="C17" s="388"/>
      <c r="D17" s="388">
        <v>1.1599999999999999</v>
      </c>
      <c r="E17" s="388">
        <v>1.36</v>
      </c>
      <c r="F17" s="388">
        <v>1.47</v>
      </c>
      <c r="G17" s="388">
        <v>1.5</v>
      </c>
      <c r="H17" s="388">
        <v>1.6</v>
      </c>
      <c r="I17" s="388">
        <v>1.54</v>
      </c>
      <c r="J17" s="388">
        <v>1.5</v>
      </c>
      <c r="K17" s="388">
        <v>1.32</v>
      </c>
      <c r="L17" s="388">
        <v>1.3</v>
      </c>
      <c r="M17" s="388">
        <v>1.1299999999999999</v>
      </c>
      <c r="N17" s="388">
        <v>1.31</v>
      </c>
      <c r="O17" s="388">
        <v>1.46</v>
      </c>
      <c r="P17" s="388">
        <v>1.24</v>
      </c>
      <c r="Q17" s="388">
        <v>1.28</v>
      </c>
      <c r="R17" s="388">
        <v>1.39</v>
      </c>
      <c r="S17" s="388">
        <v>1.39</v>
      </c>
      <c r="T17" s="388">
        <v>1.23</v>
      </c>
      <c r="U17" s="388">
        <v>1.35</v>
      </c>
      <c r="V17" s="388">
        <v>1.31</v>
      </c>
      <c r="W17" s="388">
        <v>1.28</v>
      </c>
      <c r="X17" s="46"/>
    </row>
    <row r="18" spans="2:24" x14ac:dyDescent="0.25">
      <c r="B18" s="46" t="s">
        <v>238</v>
      </c>
      <c r="C18" s="388"/>
      <c r="D18" s="388">
        <v>4.3499999999999996</v>
      </c>
      <c r="E18" s="388">
        <v>3.96</v>
      </c>
      <c r="F18" s="388">
        <v>3.39</v>
      </c>
      <c r="G18" s="388">
        <v>3.09</v>
      </c>
      <c r="H18" s="388">
        <v>2.8</v>
      </c>
      <c r="I18" s="388">
        <v>2.74</v>
      </c>
      <c r="J18" s="388">
        <v>2.34</v>
      </c>
      <c r="K18" s="388">
        <v>2.23</v>
      </c>
      <c r="L18" s="388">
        <v>2.17</v>
      </c>
      <c r="M18" s="388">
        <v>2.41</v>
      </c>
      <c r="N18" s="388">
        <v>2.04</v>
      </c>
      <c r="O18" s="388">
        <v>1.9</v>
      </c>
      <c r="P18" s="388">
        <v>1.9</v>
      </c>
      <c r="Q18" s="388">
        <v>1.8</v>
      </c>
      <c r="R18" s="388">
        <v>1.61</v>
      </c>
      <c r="S18" s="388">
        <v>1.49</v>
      </c>
      <c r="T18" s="388">
        <v>1.5</v>
      </c>
      <c r="U18" s="388">
        <v>1.51</v>
      </c>
      <c r="V18" s="388">
        <v>1.42</v>
      </c>
      <c r="W18" s="388">
        <v>1.34</v>
      </c>
      <c r="X18" s="46"/>
    </row>
    <row r="19" spans="2:24" x14ac:dyDescent="0.25">
      <c r="B19" s="46" t="s">
        <v>240</v>
      </c>
      <c r="C19" s="388" cm="1">
        <f t="array" ref="C19">_FV(B2,"P/E",TRUE)</f>
        <v>28.258800000000001</v>
      </c>
      <c r="D19" s="388">
        <v>35.71</v>
      </c>
      <c r="E19" s="388">
        <v>35.19</v>
      </c>
      <c r="F19" s="388">
        <v>27.52</v>
      </c>
      <c r="G19" s="388">
        <v>19.73</v>
      </c>
      <c r="H19" s="388">
        <v>22.89</v>
      </c>
      <c r="I19" s="388">
        <v>18.61</v>
      </c>
      <c r="J19" s="388">
        <v>16.52</v>
      </c>
      <c r="K19" s="388">
        <v>15.58</v>
      </c>
      <c r="L19" s="388">
        <v>12.6</v>
      </c>
      <c r="M19" s="388">
        <v>18.399999999999999</v>
      </c>
      <c r="N19" s="388">
        <v>16.239999999999998</v>
      </c>
      <c r="O19" s="388">
        <v>15.61</v>
      </c>
      <c r="P19" s="388">
        <v>16.690000000000001</v>
      </c>
      <c r="Q19" s="388">
        <v>16.02</v>
      </c>
      <c r="R19" s="388">
        <v>15.53</v>
      </c>
      <c r="S19" s="388">
        <v>15.88</v>
      </c>
      <c r="T19" s="388">
        <v>13.05</v>
      </c>
      <c r="U19" s="388">
        <v>12.8</v>
      </c>
      <c r="V19" s="388">
        <v>10.42</v>
      </c>
      <c r="W19" s="388">
        <v>11.25</v>
      </c>
      <c r="X19" s="389">
        <f>AVERAGE(D19:W19)</f>
        <v>18.312000000000005</v>
      </c>
    </row>
    <row r="20" spans="2:24" x14ac:dyDescent="0.25">
      <c r="B20" s="46" t="s">
        <v>241</v>
      </c>
      <c r="C20" s="388"/>
      <c r="D20" s="388">
        <v>7.82</v>
      </c>
      <c r="E20" s="388">
        <v>7.41</v>
      </c>
      <c r="F20" s="388">
        <v>5.92</v>
      </c>
      <c r="G20" s="388">
        <v>4.25</v>
      </c>
      <c r="H20" s="388">
        <v>4.9800000000000004</v>
      </c>
      <c r="I20" s="388">
        <v>3.98</v>
      </c>
      <c r="J20" s="388">
        <v>3.59</v>
      </c>
      <c r="K20" s="388">
        <v>3.48</v>
      </c>
      <c r="L20" s="388">
        <v>2.9</v>
      </c>
      <c r="M20" s="388">
        <v>4.17</v>
      </c>
      <c r="N20" s="388">
        <v>3.59</v>
      </c>
      <c r="O20" s="388">
        <v>3.38</v>
      </c>
      <c r="P20" s="388">
        <v>3.55</v>
      </c>
      <c r="Q20" s="388">
        <v>3.4</v>
      </c>
      <c r="R20" s="388">
        <v>3.27</v>
      </c>
      <c r="S20" s="388">
        <v>3.33</v>
      </c>
      <c r="T20" s="388">
        <v>2.73</v>
      </c>
      <c r="U20" s="388">
        <v>2.73</v>
      </c>
      <c r="V20" s="388">
        <v>2.2799999999999998</v>
      </c>
      <c r="W20" s="388">
        <v>2.52</v>
      </c>
      <c r="X20" s="389">
        <f>AVERAGE(D20:W20)</f>
        <v>3.964</v>
      </c>
    </row>
    <row r="21" spans="2:24" x14ac:dyDescent="0.25">
      <c r="B21" s="46" t="s">
        <v>242</v>
      </c>
      <c r="C21" s="388"/>
      <c r="D21" s="388">
        <v>34.24</v>
      </c>
      <c r="E21" s="388">
        <v>30.97</v>
      </c>
      <c r="F21" s="388">
        <v>21.87</v>
      </c>
      <c r="G21" s="388">
        <v>14.17</v>
      </c>
      <c r="H21" s="388">
        <v>14.46</v>
      </c>
      <c r="I21" s="388">
        <v>11.36</v>
      </c>
      <c r="J21" s="388">
        <v>9.2799999999999994</v>
      </c>
      <c r="K21" s="388">
        <v>8.26</v>
      </c>
      <c r="L21" s="388">
        <v>6.23</v>
      </c>
      <c r="M21" s="388">
        <v>10.24</v>
      </c>
      <c r="N21" s="388">
        <v>7.68</v>
      </c>
      <c r="O21" s="388">
        <v>6.47</v>
      </c>
      <c r="P21" s="388">
        <v>5.98</v>
      </c>
      <c r="Q21" s="388">
        <v>5.78</v>
      </c>
      <c r="R21" s="388">
        <v>5.43</v>
      </c>
      <c r="S21" s="388">
        <v>5.35</v>
      </c>
      <c r="T21" s="388">
        <v>4.41</v>
      </c>
      <c r="U21" s="388">
        <v>4.5599999999999996</v>
      </c>
      <c r="V21" s="388">
        <v>3.87</v>
      </c>
      <c r="W21" s="388">
        <v>4.3</v>
      </c>
      <c r="X21" s="389">
        <f>AVERAGE(D21:W21)</f>
        <v>10.7455</v>
      </c>
    </row>
    <row r="22" spans="2:24" x14ac:dyDescent="0.25">
      <c r="B22" s="46" t="s">
        <v>243</v>
      </c>
      <c r="C22" s="388"/>
      <c r="D22" s="388">
        <v>3.71</v>
      </c>
      <c r="E22" s="388">
        <v>3.28</v>
      </c>
      <c r="F22" s="388">
        <v>3.3</v>
      </c>
      <c r="G22" s="388">
        <v>3.2</v>
      </c>
      <c r="H22" s="388">
        <v>3.18</v>
      </c>
      <c r="I22" s="388">
        <v>2.97</v>
      </c>
      <c r="J22" s="388">
        <v>2.95</v>
      </c>
      <c r="K22" s="388">
        <v>2.99</v>
      </c>
      <c r="L22" s="388">
        <v>3.05</v>
      </c>
      <c r="M22" s="388">
        <v>2.98</v>
      </c>
      <c r="N22" s="388">
        <v>2.76</v>
      </c>
      <c r="O22" s="388">
        <v>2.59</v>
      </c>
      <c r="P22" s="388">
        <v>2.44</v>
      </c>
      <c r="Q22" s="388">
        <v>2.2999999999999998</v>
      </c>
      <c r="R22" s="388">
        <v>2.21</v>
      </c>
      <c r="S22" s="388">
        <v>2.15</v>
      </c>
      <c r="T22" s="388">
        <v>2.1</v>
      </c>
      <c r="U22" s="388">
        <v>2.08</v>
      </c>
      <c r="V22" s="388">
        <v>2.15</v>
      </c>
      <c r="W22" s="388">
        <v>2.25</v>
      </c>
      <c r="X22" s="46"/>
    </row>
    <row r="23" spans="2:24" x14ac:dyDescent="0.25">
      <c r="B23" s="46" t="s">
        <v>245</v>
      </c>
      <c r="C23" s="46"/>
      <c r="D23" s="63">
        <v>0.90590000000000004</v>
      </c>
      <c r="E23" s="63">
        <v>0.75149999999999995</v>
      </c>
      <c r="F23" s="63">
        <v>0.70660000000000001</v>
      </c>
      <c r="G23" s="63">
        <v>0.64490000000000003</v>
      </c>
      <c r="H23" s="63">
        <v>0.6018</v>
      </c>
      <c r="I23" s="63">
        <v>0.53820000000000001</v>
      </c>
      <c r="J23" s="63">
        <v>0.52129999999999999</v>
      </c>
      <c r="K23" s="63">
        <v>0.51290000000000002</v>
      </c>
      <c r="L23" s="63">
        <v>0.50919999999999999</v>
      </c>
      <c r="M23" s="63">
        <v>0.48680000000000001</v>
      </c>
      <c r="N23" s="63">
        <v>0.435</v>
      </c>
      <c r="O23" s="63">
        <v>0.3997</v>
      </c>
      <c r="P23" s="63">
        <v>0.37369999999999998</v>
      </c>
      <c r="Q23" s="63">
        <v>0.3629</v>
      </c>
      <c r="R23" s="63">
        <v>0.35399999999999998</v>
      </c>
      <c r="S23" s="63">
        <v>0.35089999999999999</v>
      </c>
      <c r="T23" s="63">
        <v>0.34939999999999999</v>
      </c>
      <c r="U23" s="63">
        <v>0.35589999999999999</v>
      </c>
      <c r="V23" s="63">
        <v>0.37890000000000001</v>
      </c>
      <c r="W23" s="63">
        <v>0.40239999999999998</v>
      </c>
      <c r="X23" s="63">
        <f>AVERAGE(D23:W23)</f>
        <v>0.49709499999999984</v>
      </c>
    </row>
    <row r="25" spans="2:24" x14ac:dyDescent="0.25">
      <c r="B25" s="46" t="e" vm="135">
        <v>#VALUE!</v>
      </c>
      <c r="C25" s="200" cm="1">
        <f t="array" ref="C25">_FV(B25,"Price")</f>
        <v>14354.902</v>
      </c>
      <c r="D25" s="200">
        <v>12888</v>
      </c>
      <c r="E25" s="200">
        <v>11052</v>
      </c>
      <c r="F25" s="200">
        <v>10905</v>
      </c>
      <c r="G25" s="200">
        <v>9000</v>
      </c>
      <c r="H25" s="200">
        <v>8991</v>
      </c>
      <c r="I25" s="200">
        <v>8151</v>
      </c>
      <c r="J25" s="200">
        <v>8174</v>
      </c>
      <c r="K25" s="200">
        <v>7953</v>
      </c>
      <c r="L25" s="200">
        <v>6907</v>
      </c>
      <c r="M25" s="200">
        <v>8336</v>
      </c>
      <c r="N25" s="200">
        <v>7795</v>
      </c>
      <c r="O25" s="200">
        <v>7402</v>
      </c>
      <c r="P25" s="200">
        <v>7324</v>
      </c>
      <c r="Q25" s="200">
        <v>6885</v>
      </c>
      <c r="R25" s="200">
        <v>6557</v>
      </c>
      <c r="S25" s="200">
        <v>6343</v>
      </c>
      <c r="T25" s="200">
        <v>5829</v>
      </c>
      <c r="U25" s="200">
        <v>5752</v>
      </c>
      <c r="V25" s="200">
        <v>5254</v>
      </c>
      <c r="W25" s="200">
        <v>5347</v>
      </c>
      <c r="X25" s="46"/>
    </row>
    <row r="26" spans="2:24" x14ac:dyDescent="0.25">
      <c r="C26" s="39">
        <v>25.1</v>
      </c>
      <c r="D26" s="39">
        <v>23.8</v>
      </c>
      <c r="W26" s="39">
        <v>20.02</v>
      </c>
    </row>
    <row r="29" spans="2:24" x14ac:dyDescent="0.25">
      <c r="M29" s="582" t="s">
        <v>268</v>
      </c>
      <c r="N29" s="582"/>
      <c r="O29" s="582"/>
    </row>
    <row r="30" spans="2:24" x14ac:dyDescent="0.25">
      <c r="B30" s="46"/>
      <c r="C30" s="432" t="s">
        <v>244</v>
      </c>
      <c r="D30" s="432" t="s">
        <v>252</v>
      </c>
      <c r="E30" s="432" t="s">
        <v>253</v>
      </c>
      <c r="F30" s="432" t="s">
        <v>250</v>
      </c>
      <c r="G30" s="432" t="s">
        <v>289</v>
      </c>
      <c r="H30" s="432" t="s">
        <v>287</v>
      </c>
      <c r="I30" s="432" t="s">
        <v>288</v>
      </c>
    </row>
    <row r="31" spans="2:24" x14ac:dyDescent="0.25">
      <c r="B31" s="46" t="s">
        <v>251</v>
      </c>
      <c r="C31" s="394">
        <f>'AAPL Analysis'!C19</f>
        <v>28.258800000000001</v>
      </c>
      <c r="D31" s="395" t="e">
        <f>D32/'AAPL Analysis'!D22</f>
        <v>#REF!</v>
      </c>
      <c r="E31" s="321">
        <f>E32/'AAPL Analysis'!D22</f>
        <v>36.388140161725069</v>
      </c>
      <c r="F31" s="394">
        <f>AVERAGE('AAPL Analysis'!D19:O19)</f>
        <v>21.216666666666672</v>
      </c>
      <c r="G31" s="394">
        <f>G32/'AAPL Analysis'!D22</f>
        <v>24.733333333333338</v>
      </c>
      <c r="H31" s="394">
        <v>28.25</v>
      </c>
      <c r="I31" s="394">
        <f>G19</f>
        <v>19.73</v>
      </c>
      <c r="M31" s="432" t="s">
        <v>17</v>
      </c>
      <c r="N31" s="432" t="s">
        <v>233</v>
      </c>
      <c r="O31" s="432" t="s">
        <v>266</v>
      </c>
      <c r="P31" s="432" t="s">
        <v>267</v>
      </c>
    </row>
    <row r="32" spans="2:24" x14ac:dyDescent="0.25">
      <c r="B32" s="46" t="s">
        <v>233</v>
      </c>
      <c r="C32" s="394">
        <f>'AAPL Analysis'!C5</f>
        <v>175.6</v>
      </c>
      <c r="D32" s="395" t="e">
        <f>#REF!</f>
        <v>#REF!</v>
      </c>
      <c r="E32" s="321">
        <v>135</v>
      </c>
      <c r="F32" s="394">
        <f>F31*'AAPL Analysis'!D22</f>
        <v>78.713833333333355</v>
      </c>
      <c r="G32" s="394">
        <f>AVERAGE(H32,F32)</f>
        <v>91.76066666666668</v>
      </c>
      <c r="H32" s="394">
        <f>H31*'AAPL Analysis'!$D$22</f>
        <v>104.8075</v>
      </c>
      <c r="I32" s="394">
        <f>I31*'AAPL Analysis'!$D$22</f>
        <v>73.198300000000003</v>
      </c>
      <c r="M32" s="406">
        <v>43376</v>
      </c>
      <c r="N32" s="394">
        <v>56.38</v>
      </c>
      <c r="O32" s="46"/>
      <c r="P32" s="46"/>
    </row>
    <row r="33" spans="2:16" x14ac:dyDescent="0.25">
      <c r="C33" s="73" t="e">
        <f>(C32-D32)/D32</f>
        <v>#REF!</v>
      </c>
      <c r="D33" s="73" t="e">
        <f>(D32-C32)/C32</f>
        <v>#REF!</v>
      </c>
      <c r="E33" s="73" t="e">
        <f>(E32-D32)/D32</f>
        <v>#REF!</v>
      </c>
      <c r="F33" s="73" t="e">
        <f>(F32-$D$32)/$D$32</f>
        <v>#REF!</v>
      </c>
      <c r="G33" s="73" t="e">
        <f>(G32-$D$32)/$D$32</f>
        <v>#REF!</v>
      </c>
      <c r="H33" s="73" t="e">
        <f>(H32-$D$32)/$D$32</f>
        <v>#REF!</v>
      </c>
      <c r="I33" s="73" t="e">
        <f>(I32-$D$32)/$D$32</f>
        <v>#REF!</v>
      </c>
      <c r="M33" s="406">
        <v>43468</v>
      </c>
      <c r="N33" s="394">
        <v>34.67</v>
      </c>
      <c r="O33" s="303">
        <f>(N33-N32)/N32</f>
        <v>-0.38506562610854911</v>
      </c>
      <c r="P33" s="309">
        <f t="shared" ref="P33:P39" si="3">M33-M32</f>
        <v>92</v>
      </c>
    </row>
    <row r="34" spans="2:16" x14ac:dyDescent="0.25">
      <c r="D34" s="343"/>
      <c r="E34" s="73">
        <f>(E32-C32)/C32</f>
        <v>-0.23120728929384962</v>
      </c>
      <c r="M34" s="406">
        <v>43874</v>
      </c>
      <c r="N34" s="394">
        <v>80.59</v>
      </c>
      <c r="O34" s="46"/>
      <c r="P34" s="46">
        <f t="shared" si="3"/>
        <v>406</v>
      </c>
    </row>
    <row r="35" spans="2:16" x14ac:dyDescent="0.25">
      <c r="M35" s="406">
        <v>43913</v>
      </c>
      <c r="N35" s="394">
        <v>55.66</v>
      </c>
      <c r="O35" s="303">
        <f>(N35-N34)/N34</f>
        <v>-0.30934359101625519</v>
      </c>
      <c r="P35" s="309">
        <f t="shared" si="3"/>
        <v>39</v>
      </c>
    </row>
    <row r="36" spans="2:16" x14ac:dyDescent="0.25">
      <c r="B36" s="96" t="s">
        <v>262</v>
      </c>
      <c r="C36" s="420">
        <v>59.17</v>
      </c>
      <c r="D36" s="98"/>
      <c r="E36" s="98"/>
      <c r="F36" s="98"/>
      <c r="G36" s="98"/>
      <c r="H36" s="98"/>
      <c r="I36" s="199"/>
      <c r="M36" s="406">
        <v>44075</v>
      </c>
      <c r="N36" s="394">
        <v>133.75</v>
      </c>
      <c r="O36" s="303"/>
      <c r="P36" s="309">
        <f t="shared" si="3"/>
        <v>162</v>
      </c>
    </row>
    <row r="37" spans="2:16" x14ac:dyDescent="0.25">
      <c r="B37" s="46" t="s">
        <v>233</v>
      </c>
      <c r="C37" s="394">
        <f>C32</f>
        <v>175.6</v>
      </c>
      <c r="D37" s="389" t="e">
        <f>D32</f>
        <v>#REF!</v>
      </c>
      <c r="E37" s="389">
        <f t="shared" ref="E37:I37" si="4">E32</f>
        <v>135</v>
      </c>
      <c r="F37" s="389">
        <f t="shared" si="4"/>
        <v>78.713833333333355</v>
      </c>
      <c r="G37" s="389">
        <f t="shared" si="4"/>
        <v>91.76066666666668</v>
      </c>
      <c r="H37" s="389">
        <f t="shared" si="4"/>
        <v>104.8075</v>
      </c>
      <c r="I37" s="389">
        <f t="shared" si="4"/>
        <v>73.198300000000003</v>
      </c>
      <c r="M37" s="406">
        <v>44097</v>
      </c>
      <c r="N37" s="394">
        <v>106.77</v>
      </c>
      <c r="O37" s="303">
        <f>(N37-N36)/N36</f>
        <v>-0.20171962616822434</v>
      </c>
      <c r="P37" s="309">
        <f t="shared" si="3"/>
        <v>22</v>
      </c>
    </row>
    <row r="38" spans="2:16" x14ac:dyDescent="0.25">
      <c r="B38" s="46" t="s">
        <v>256</v>
      </c>
      <c r="C38" s="394">
        <f>C37/$C$36</f>
        <v>2.9677201284434678</v>
      </c>
      <c r="D38" s="394" t="e">
        <f t="shared" ref="D38:I38" si="5">D37/$C$36</f>
        <v>#REF!</v>
      </c>
      <c r="E38" s="394">
        <f t="shared" si="5"/>
        <v>2.2815616021632583</v>
      </c>
      <c r="F38" s="394">
        <f t="shared" si="5"/>
        <v>1.3302997014252722</v>
      </c>
      <c r="G38" s="394">
        <f t="shared" si="5"/>
        <v>1.5507971381893979</v>
      </c>
      <c r="H38" s="394">
        <f t="shared" si="5"/>
        <v>1.7712945749535238</v>
      </c>
      <c r="I38" s="394">
        <f t="shared" si="5"/>
        <v>1.2370846712861248</v>
      </c>
      <c r="L38" s="101"/>
      <c r="M38" s="406">
        <v>44221</v>
      </c>
      <c r="N38" s="394">
        <v>142.69999999999999</v>
      </c>
      <c r="O38" s="46"/>
      <c r="P38" s="309">
        <f t="shared" si="3"/>
        <v>124</v>
      </c>
    </row>
    <row r="39" spans="2:16" x14ac:dyDescent="0.25">
      <c r="B39" s="96" t="s">
        <v>257</v>
      </c>
      <c r="C39" s="98"/>
      <c r="D39" s="98"/>
      <c r="E39" s="98"/>
      <c r="F39" s="315"/>
      <c r="G39" s="98"/>
      <c r="H39" s="98"/>
      <c r="I39" s="199"/>
      <c r="M39" s="406">
        <f ca="1">TODAY()</f>
        <v>44649</v>
      </c>
      <c r="N39" s="394">
        <f>C5</f>
        <v>175.6</v>
      </c>
      <c r="O39" s="303">
        <f>(N39-N38)/N38</f>
        <v>0.2305536089698669</v>
      </c>
      <c r="P39" s="46">
        <f t="shared" ca="1" si="3"/>
        <v>428</v>
      </c>
    </row>
    <row r="40" spans="2:16" x14ac:dyDescent="0.25">
      <c r="B40" s="416" t="s">
        <v>258</v>
      </c>
      <c r="C40" s="54">
        <v>0.66</v>
      </c>
      <c r="D40" s="417">
        <f>C40*$C$36</f>
        <v>39.052200000000006</v>
      </c>
      <c r="E40" s="54"/>
      <c r="F40" s="315" t="s">
        <v>64</v>
      </c>
      <c r="G40" s="425">
        <f>D40/$D$22</f>
        <v>10.526199460916445</v>
      </c>
      <c r="H40" s="54"/>
      <c r="I40" s="248"/>
      <c r="M40" s="304"/>
      <c r="N40" s="424">
        <f>N38*(1+O40)</f>
        <v>98.556669561980371</v>
      </c>
      <c r="O40" s="99">
        <f>MEDIAN(O33,O35,O37)</f>
        <v>-0.30934359101625519</v>
      </c>
      <c r="P40" s="46"/>
    </row>
    <row r="41" spans="2:16" x14ac:dyDescent="0.25">
      <c r="B41" s="416" t="s">
        <v>259</v>
      </c>
      <c r="C41" s="54">
        <v>1.45</v>
      </c>
      <c r="D41" s="417">
        <f t="shared" ref="D41:D43" si="6">C41*$C$36</f>
        <v>85.796499999999995</v>
      </c>
      <c r="E41" s="54"/>
      <c r="F41" s="54" t="s">
        <v>64</v>
      </c>
      <c r="G41" s="425">
        <f t="shared" ref="G41:G43" si="7">D41/$D$22</f>
        <v>23.125741239892182</v>
      </c>
      <c r="H41" s="54"/>
      <c r="I41" s="248"/>
      <c r="M41" s="101"/>
    </row>
    <row r="42" spans="2:16" x14ac:dyDescent="0.25">
      <c r="B42" s="416" t="s">
        <v>260</v>
      </c>
      <c r="C42" s="54">
        <v>19</v>
      </c>
      <c r="D42" s="417">
        <f t="shared" si="6"/>
        <v>1124.23</v>
      </c>
      <c r="E42" s="54"/>
      <c r="F42" s="54" t="s">
        <v>64</v>
      </c>
      <c r="G42" s="425">
        <f t="shared" si="7"/>
        <v>303.02695417789761</v>
      </c>
      <c r="H42" s="54"/>
      <c r="I42" s="248"/>
    </row>
    <row r="43" spans="2:16" x14ac:dyDescent="0.25">
      <c r="B43" s="418" t="s">
        <v>261</v>
      </c>
      <c r="C43" s="192">
        <v>1.43</v>
      </c>
      <c r="D43" s="419">
        <f t="shared" si="6"/>
        <v>84.613100000000003</v>
      </c>
      <c r="E43" s="192"/>
      <c r="F43" s="192" t="s">
        <v>64</v>
      </c>
      <c r="G43" s="426">
        <f t="shared" si="7"/>
        <v>22.806765498652293</v>
      </c>
      <c r="H43" s="192"/>
      <c r="I43" s="145"/>
    </row>
    <row r="46" spans="2:16" x14ac:dyDescent="0.25">
      <c r="B46" s="96" t="s">
        <v>264</v>
      </c>
      <c r="C46" s="420">
        <v>170.34</v>
      </c>
      <c r="D46" s="98"/>
      <c r="E46" s="98"/>
      <c r="F46" s="98"/>
      <c r="G46" s="98"/>
      <c r="H46" s="98"/>
      <c r="I46" s="199"/>
    </row>
    <row r="47" spans="2:16" x14ac:dyDescent="0.25">
      <c r="B47" s="46" t="s">
        <v>233</v>
      </c>
      <c r="C47" s="394">
        <f>C32</f>
        <v>175.6</v>
      </c>
      <c r="D47" s="389" t="e">
        <f>D32</f>
        <v>#REF!</v>
      </c>
      <c r="E47" s="389">
        <f t="shared" ref="E47:I47" si="8">E32</f>
        <v>135</v>
      </c>
      <c r="F47" s="389">
        <f t="shared" si="8"/>
        <v>78.713833333333355</v>
      </c>
      <c r="G47" s="389">
        <f t="shared" si="8"/>
        <v>91.76066666666668</v>
      </c>
      <c r="H47" s="389">
        <f t="shared" si="8"/>
        <v>104.8075</v>
      </c>
      <c r="I47" s="389">
        <f t="shared" si="8"/>
        <v>73.198300000000003</v>
      </c>
    </row>
    <row r="48" spans="2:16" x14ac:dyDescent="0.25">
      <c r="B48" s="46" t="s">
        <v>263</v>
      </c>
      <c r="C48" s="50">
        <f>($C$46-C47)/$C$46</f>
        <v>-3.0879417635317544E-2</v>
      </c>
      <c r="D48" s="50" t="e">
        <f t="shared" ref="D48:I48" si="9">($C$46-D47)/$C$46</f>
        <v>#REF!</v>
      </c>
      <c r="E48" s="50">
        <f t="shared" si="9"/>
        <v>0.20746741810496655</v>
      </c>
      <c r="F48" s="50">
        <f t="shared" si="9"/>
        <v>0.53790164768502202</v>
      </c>
      <c r="G48" s="50">
        <f t="shared" si="9"/>
        <v>0.46130875503894164</v>
      </c>
      <c r="H48" s="50">
        <f t="shared" si="9"/>
        <v>0.38471586239286132</v>
      </c>
      <c r="I48" s="50">
        <f t="shared" si="9"/>
        <v>0.57028120230127977</v>
      </c>
    </row>
    <row r="51" spans="2:9" x14ac:dyDescent="0.25">
      <c r="B51" s="96" t="s">
        <v>265</v>
      </c>
      <c r="C51" s="420">
        <v>143.80000000000001</v>
      </c>
      <c r="D51" s="98"/>
      <c r="E51" s="98"/>
      <c r="F51" s="98"/>
      <c r="G51" s="98"/>
      <c r="H51" s="98"/>
      <c r="I51" s="199"/>
    </row>
    <row r="52" spans="2:9" x14ac:dyDescent="0.25">
      <c r="B52" s="46" t="s">
        <v>233</v>
      </c>
      <c r="C52" s="394">
        <f>C32</f>
        <v>175.6</v>
      </c>
      <c r="D52" s="389" t="e">
        <f>D32</f>
        <v>#REF!</v>
      </c>
      <c r="E52" s="389">
        <f t="shared" ref="E52:I52" si="10">E32</f>
        <v>135</v>
      </c>
      <c r="F52" s="389">
        <f t="shared" si="10"/>
        <v>78.713833333333355</v>
      </c>
      <c r="G52" s="389">
        <f t="shared" si="10"/>
        <v>91.76066666666668</v>
      </c>
      <c r="H52" s="389">
        <f t="shared" si="10"/>
        <v>104.8075</v>
      </c>
      <c r="I52" s="389">
        <f t="shared" si="10"/>
        <v>73.198300000000003</v>
      </c>
    </row>
    <row r="53" spans="2:9" x14ac:dyDescent="0.25">
      <c r="B53" s="46" t="s">
        <v>263</v>
      </c>
      <c r="C53" s="50">
        <f>($C$51-C52)/$C$51</f>
        <v>-0.22114047287899846</v>
      </c>
      <c r="D53" s="50" t="e">
        <f t="shared" ref="D53:I53" si="11">($C$51-D52)/$C$51</f>
        <v>#REF!</v>
      </c>
      <c r="E53" s="50">
        <f t="shared" si="11"/>
        <v>6.1196105702364466E-2</v>
      </c>
      <c r="F53" s="50">
        <f t="shared" si="11"/>
        <v>0.45261590171534527</v>
      </c>
      <c r="G53" s="50">
        <f t="shared" si="11"/>
        <v>0.36188687992582286</v>
      </c>
      <c r="H53" s="50">
        <f t="shared" si="11"/>
        <v>0.27115785813630044</v>
      </c>
      <c r="I53" s="50">
        <f t="shared" si="11"/>
        <v>0.49097148817802505</v>
      </c>
    </row>
    <row r="54" spans="2:9" x14ac:dyDescent="0.25">
      <c r="B54" s="96" t="s">
        <v>257</v>
      </c>
      <c r="C54" s="98"/>
      <c r="D54" s="98"/>
      <c r="E54" s="98"/>
      <c r="F54" s="98"/>
      <c r="G54" s="98"/>
      <c r="H54" s="98"/>
      <c r="I54" s="199"/>
    </row>
    <row r="55" spans="2:9" x14ac:dyDescent="0.25">
      <c r="B55" s="416" t="s">
        <v>244</v>
      </c>
      <c r="C55" s="397">
        <f>C52/$C$51</f>
        <v>1.2211404728789985</v>
      </c>
      <c r="D55" s="54"/>
      <c r="E55" s="54"/>
      <c r="F55" s="54"/>
      <c r="G55" s="54"/>
      <c r="H55" s="54"/>
      <c r="I55" s="248"/>
    </row>
    <row r="56" spans="2:9" x14ac:dyDescent="0.25">
      <c r="B56" s="416" t="s">
        <v>258</v>
      </c>
      <c r="C56" s="397">
        <v>0.35</v>
      </c>
      <c r="D56" s="417">
        <f>C56*$C$51</f>
        <v>50.33</v>
      </c>
      <c r="E56" s="54"/>
      <c r="F56" s="54"/>
      <c r="G56" s="54"/>
      <c r="H56" s="54"/>
      <c r="I56" s="248"/>
    </row>
    <row r="57" spans="2:9" x14ac:dyDescent="0.25">
      <c r="B57" s="416" t="s">
        <v>259</v>
      </c>
      <c r="C57" s="397">
        <v>0.56999999999999995</v>
      </c>
      <c r="D57" s="417">
        <f t="shared" ref="D57:D59" si="12">C57*$C$51</f>
        <v>81.965999999999994</v>
      </c>
      <c r="E57" s="54"/>
      <c r="F57" s="54"/>
      <c r="G57" s="54"/>
      <c r="H57" s="54"/>
      <c r="I57" s="248"/>
    </row>
    <row r="58" spans="2:9" x14ac:dyDescent="0.25">
      <c r="B58" s="416" t="s">
        <v>260</v>
      </c>
      <c r="C58" s="397">
        <v>1.75</v>
      </c>
      <c r="D58" s="417">
        <f t="shared" si="12"/>
        <v>251.65000000000003</v>
      </c>
      <c r="E58" s="54"/>
      <c r="F58" s="54"/>
      <c r="G58" s="54"/>
      <c r="H58" s="54"/>
      <c r="I58" s="248"/>
    </row>
    <row r="59" spans="2:9" x14ac:dyDescent="0.25">
      <c r="B59" s="418" t="s">
        <v>261</v>
      </c>
      <c r="C59" s="421">
        <v>1.37</v>
      </c>
      <c r="D59" s="419">
        <f t="shared" si="12"/>
        <v>197.00600000000003</v>
      </c>
      <c r="E59" s="192"/>
      <c r="F59" s="192"/>
      <c r="G59" s="192"/>
      <c r="H59" s="192"/>
      <c r="I59" s="145"/>
    </row>
  </sheetData>
  <mergeCells count="7">
    <mergeCell ref="P3:S3"/>
    <mergeCell ref="T3:W3"/>
    <mergeCell ref="M29:O29"/>
    <mergeCell ref="B3:B4"/>
    <mergeCell ref="D3:G3"/>
    <mergeCell ref="H3:K3"/>
    <mergeCell ref="L3:O3"/>
  </mergeCells>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D588C-1176-4934-B525-A4EC14F9BCB2}">
  <sheetPr>
    <tabColor rgb="FF00B050"/>
  </sheetPr>
  <dimension ref="B3:Z32"/>
  <sheetViews>
    <sheetView showGridLines="0" workbookViewId="0">
      <selection activeCell="K5" sqref="K5"/>
    </sheetView>
  </sheetViews>
  <sheetFormatPr defaultColWidth="9.140625" defaultRowHeight="15" x14ac:dyDescent="0.25"/>
  <cols>
    <col min="1" max="2" width="9.140625" style="39"/>
    <col min="3" max="3" width="27.5703125" style="39" bestFit="1" customWidth="1"/>
    <col min="4" max="4" width="13.28515625" style="39" bestFit="1" customWidth="1"/>
    <col min="5" max="5" width="9" style="39" customWidth="1"/>
    <col min="6" max="6" width="9.140625" style="39"/>
    <col min="7" max="7" width="11.5703125" style="39" bestFit="1" customWidth="1"/>
    <col min="8" max="8" width="10.5703125" style="39" bestFit="1" customWidth="1"/>
    <col min="9" max="9" width="13.42578125" style="39" bestFit="1" customWidth="1"/>
    <col min="10" max="10" width="11.5703125" style="39" bestFit="1" customWidth="1"/>
    <col min="11" max="11" width="12.5703125" style="39" bestFit="1" customWidth="1"/>
    <col min="12" max="12" width="10.42578125" style="39" bestFit="1" customWidth="1"/>
    <col min="13" max="13" width="8.42578125" style="39" bestFit="1" customWidth="1"/>
    <col min="14" max="14" width="8.85546875" style="39" bestFit="1" customWidth="1"/>
    <col min="15" max="15" width="13.7109375" style="39" bestFit="1" customWidth="1"/>
    <col min="16" max="16" width="9.85546875" style="39" bestFit="1" customWidth="1"/>
    <col min="17" max="17" width="10.28515625" style="39" bestFit="1" customWidth="1"/>
    <col min="18" max="18" width="10.7109375" style="39" bestFit="1" customWidth="1"/>
    <col min="19" max="19" width="8.42578125" style="39" bestFit="1" customWidth="1"/>
    <col min="20" max="20" width="7.85546875" style="39" bestFit="1" customWidth="1"/>
    <col min="21" max="21" width="16.140625" style="39" bestFit="1" customWidth="1"/>
    <col min="22" max="22" width="11" style="39" bestFit="1" customWidth="1"/>
    <col min="23" max="23" width="12.28515625" style="39" bestFit="1" customWidth="1"/>
    <col min="24" max="25" width="12.28515625" style="39" customWidth="1"/>
    <col min="26" max="16384" width="9.140625" style="39"/>
  </cols>
  <sheetData>
    <row r="3" spans="2:26" x14ac:dyDescent="0.25">
      <c r="F3" s="479" t="s">
        <v>2</v>
      </c>
      <c r="G3" s="479" t="s">
        <v>3</v>
      </c>
      <c r="H3" s="479" t="s">
        <v>4</v>
      </c>
      <c r="I3" s="479" t="s">
        <v>6</v>
      </c>
      <c r="J3" s="479" t="s">
        <v>15</v>
      </c>
      <c r="K3" s="479" t="s">
        <v>8</v>
      </c>
      <c r="L3" s="479" t="s">
        <v>9</v>
      </c>
      <c r="M3" s="479" t="s">
        <v>77</v>
      </c>
      <c r="N3" s="479" t="s">
        <v>220</v>
      </c>
      <c r="O3" s="479" t="s">
        <v>221</v>
      </c>
      <c r="P3" s="479" t="s">
        <v>9</v>
      </c>
      <c r="Q3" s="479" t="s">
        <v>77</v>
      </c>
      <c r="R3" s="479" t="s">
        <v>215</v>
      </c>
      <c r="S3" s="479" t="s">
        <v>216</v>
      </c>
      <c r="T3" s="479" t="s">
        <v>217</v>
      </c>
      <c r="U3" s="479" t="s">
        <v>142</v>
      </c>
      <c r="V3" s="479" t="s">
        <v>209</v>
      </c>
      <c r="W3" s="479" t="s">
        <v>210</v>
      </c>
    </row>
    <row r="4" spans="2:26" x14ac:dyDescent="0.25">
      <c r="C4" s="43" t="e" vm="40">
        <v>#VALUE!</v>
      </c>
      <c r="D4" s="78" t="s">
        <v>10</v>
      </c>
      <c r="E4" s="78" t="s">
        <v>13</v>
      </c>
      <c r="F4" s="81">
        <v>86</v>
      </c>
      <c r="G4" s="81">
        <v>100</v>
      </c>
      <c r="H4" s="363">
        <f t="shared" ref="H4" si="0">8.88*2+1</f>
        <v>18.760000000000002</v>
      </c>
      <c r="I4" s="81">
        <f t="shared" ref="I4" si="1">((F4*G4)+H4)/G4</f>
        <v>86.187600000000003</v>
      </c>
      <c r="J4" s="81">
        <f t="shared" ref="J4" si="2">I4*G4</f>
        <v>8618.76</v>
      </c>
      <c r="K4" s="141" cm="1">
        <f t="array" ref="K4">_FV(C4,"Price")</f>
        <v>59.77</v>
      </c>
      <c r="L4" s="76">
        <f>(K4-I4)*G4</f>
        <v>-2641.76</v>
      </c>
      <c r="M4" s="77">
        <f t="shared" ref="M4:M9" si="3">L4/J4</f>
        <v>-0.30651276981839615</v>
      </c>
      <c r="N4" s="366">
        <v>70</v>
      </c>
      <c r="O4" s="362">
        <f t="shared" ref="O4:O9" si="4">N4*G4</f>
        <v>7000</v>
      </c>
      <c r="P4" s="76">
        <f t="shared" ref="P4:P9" si="5">(N4-I4)*G4</f>
        <v>-1618.7600000000002</v>
      </c>
      <c r="Q4" s="77">
        <f t="shared" ref="Q4:Q9" si="6">P4/J4</f>
        <v>-0.1878182012261625</v>
      </c>
      <c r="R4" s="398" t="s">
        <v>335</v>
      </c>
      <c r="S4" s="95"/>
      <c r="T4" s="95"/>
      <c r="U4" s="95"/>
      <c r="V4" s="95"/>
      <c r="W4" s="95"/>
      <c r="X4" s="95"/>
      <c r="Y4" s="95"/>
      <c r="Z4" s="43"/>
    </row>
    <row r="5" spans="2:26" s="43" customFormat="1" x14ac:dyDescent="0.25">
      <c r="C5" s="439">
        <f>F5/F4</f>
        <v>0.92209302325581388</v>
      </c>
      <c r="D5" s="161" t="s">
        <v>10</v>
      </c>
      <c r="E5" s="161" t="s">
        <v>13</v>
      </c>
      <c r="F5" s="81">
        <v>79.3</v>
      </c>
      <c r="G5" s="216">
        <v>50</v>
      </c>
      <c r="H5" s="81">
        <v>2.88</v>
      </c>
      <c r="I5" s="216">
        <f t="shared" ref="I5:I9" si="7">((F5*G5)+H5)/G5</f>
        <v>79.357600000000005</v>
      </c>
      <c r="J5" s="216">
        <f t="shared" ref="J5:J9" si="8">I5*G5</f>
        <v>3967.88</v>
      </c>
      <c r="K5" s="216">
        <f>K4</f>
        <v>59.77</v>
      </c>
      <c r="L5" s="218">
        <f t="shared" ref="L5:L9" si="9">(K5-I5)*G5</f>
        <v>-979.38000000000011</v>
      </c>
      <c r="M5" s="446">
        <f t="shared" si="3"/>
        <v>-0.24682702097845702</v>
      </c>
      <c r="N5" s="366">
        <v>63.5</v>
      </c>
      <c r="O5" s="447">
        <f t="shared" si="4"/>
        <v>3175</v>
      </c>
      <c r="P5" s="218">
        <f t="shared" si="5"/>
        <v>-792.88000000000022</v>
      </c>
      <c r="Q5" s="446">
        <f t="shared" si="6"/>
        <v>-0.19982459146950013</v>
      </c>
      <c r="R5" s="398" t="s">
        <v>352</v>
      </c>
      <c r="S5" s="428"/>
      <c r="T5" s="95"/>
      <c r="U5" s="95"/>
      <c r="V5" s="95"/>
      <c r="W5" s="95"/>
      <c r="X5" s="95"/>
      <c r="Y5" s="95"/>
    </row>
    <row r="6" spans="2:26" s="43" customFormat="1" x14ac:dyDescent="0.25">
      <c r="C6" s="439">
        <f t="shared" ref="C6:C9" si="10">F6/F5</f>
        <v>0.85119798234552335</v>
      </c>
      <c r="D6" s="409" t="s">
        <v>10</v>
      </c>
      <c r="E6" s="409" t="s">
        <v>13</v>
      </c>
      <c r="F6" s="82">
        <v>67.5</v>
      </c>
      <c r="G6" s="410">
        <v>0</v>
      </c>
      <c r="H6" s="82">
        <v>0</v>
      </c>
      <c r="I6" s="410" t="e">
        <f t="shared" si="7"/>
        <v>#DIV/0!</v>
      </c>
      <c r="J6" s="410" t="e">
        <f t="shared" si="8"/>
        <v>#DIV/0!</v>
      </c>
      <c r="K6" s="410">
        <f>K4</f>
        <v>59.77</v>
      </c>
      <c r="L6" s="411" t="e">
        <f t="shared" si="9"/>
        <v>#DIV/0!</v>
      </c>
      <c r="M6" s="412" t="e">
        <f t="shared" si="3"/>
        <v>#DIV/0!</v>
      </c>
      <c r="N6" s="431">
        <v>69</v>
      </c>
      <c r="O6" s="414">
        <f t="shared" si="4"/>
        <v>0</v>
      </c>
      <c r="P6" s="411" t="e">
        <f t="shared" si="5"/>
        <v>#DIV/0!</v>
      </c>
      <c r="Q6" s="412" t="e">
        <f t="shared" si="6"/>
        <v>#DIV/0!</v>
      </c>
      <c r="R6" s="415"/>
      <c r="S6" s="428"/>
      <c r="T6" s="95"/>
      <c r="U6" s="95"/>
      <c r="V6" s="95"/>
      <c r="W6" s="95"/>
      <c r="X6" s="95"/>
      <c r="Y6" s="95"/>
    </row>
    <row r="7" spans="2:26" s="43" customFormat="1" x14ac:dyDescent="0.25">
      <c r="C7" s="439">
        <f t="shared" si="10"/>
        <v>0.99111111111111116</v>
      </c>
      <c r="D7" s="409" t="s">
        <v>10</v>
      </c>
      <c r="E7" s="409" t="s">
        <v>13</v>
      </c>
      <c r="F7" s="82">
        <v>66.900000000000006</v>
      </c>
      <c r="G7" s="410">
        <v>0</v>
      </c>
      <c r="H7" s="82">
        <v>0</v>
      </c>
      <c r="I7" s="410" t="e">
        <f t="shared" si="7"/>
        <v>#DIV/0!</v>
      </c>
      <c r="J7" s="410" t="e">
        <f t="shared" si="8"/>
        <v>#DIV/0!</v>
      </c>
      <c r="K7" s="410">
        <f>K4</f>
        <v>59.77</v>
      </c>
      <c r="L7" s="411" t="e">
        <f t="shared" si="9"/>
        <v>#DIV/0!</v>
      </c>
      <c r="M7" s="412" t="e">
        <f t="shared" si="3"/>
        <v>#DIV/0!</v>
      </c>
      <c r="N7" s="431">
        <v>69</v>
      </c>
      <c r="O7" s="414">
        <f t="shared" si="4"/>
        <v>0</v>
      </c>
      <c r="P7" s="411" t="e">
        <f t="shared" si="5"/>
        <v>#DIV/0!</v>
      </c>
      <c r="Q7" s="412" t="e">
        <f t="shared" si="6"/>
        <v>#DIV/0!</v>
      </c>
      <c r="R7" s="415"/>
      <c r="S7" s="428"/>
      <c r="T7" s="95"/>
      <c r="U7" s="95"/>
      <c r="V7" s="95"/>
      <c r="W7" s="95"/>
      <c r="X7" s="95"/>
      <c r="Y7" s="95"/>
    </row>
    <row r="8" spans="2:26" s="43" customFormat="1" x14ac:dyDescent="0.25">
      <c r="C8" s="439">
        <f t="shared" si="10"/>
        <v>0.68759342301943194</v>
      </c>
      <c r="D8" s="409" t="s">
        <v>10</v>
      </c>
      <c r="E8" s="409" t="s">
        <v>13</v>
      </c>
      <c r="F8" s="82">
        <v>46</v>
      </c>
      <c r="G8" s="410"/>
      <c r="H8" s="82"/>
      <c r="I8" s="410" t="e">
        <f t="shared" si="7"/>
        <v>#DIV/0!</v>
      </c>
      <c r="J8" s="410" t="e">
        <f t="shared" si="8"/>
        <v>#DIV/0!</v>
      </c>
      <c r="K8" s="410" t="e">
        <f>#REF!</f>
        <v>#REF!</v>
      </c>
      <c r="L8" s="411" t="e">
        <f t="shared" si="9"/>
        <v>#REF!</v>
      </c>
      <c r="M8" s="412" t="e">
        <f t="shared" si="3"/>
        <v>#REF!</v>
      </c>
      <c r="N8" s="431" t="e">
        <f>#REF!</f>
        <v>#REF!</v>
      </c>
      <c r="O8" s="414" t="e">
        <f t="shared" si="4"/>
        <v>#REF!</v>
      </c>
      <c r="P8" s="411" t="e">
        <f t="shared" si="5"/>
        <v>#REF!</v>
      </c>
      <c r="Q8" s="412" t="e">
        <f t="shared" si="6"/>
        <v>#REF!</v>
      </c>
      <c r="R8" s="415"/>
      <c r="S8" s="95"/>
      <c r="T8" s="95"/>
      <c r="U8" s="95"/>
      <c r="V8" s="95"/>
      <c r="W8" s="95"/>
      <c r="X8" s="95"/>
      <c r="Y8" s="95"/>
    </row>
    <row r="9" spans="2:26" s="43" customFormat="1" x14ac:dyDescent="0.25">
      <c r="C9" s="439">
        <f t="shared" si="10"/>
        <v>0.80434782608695654</v>
      </c>
      <c r="D9" s="409" t="s">
        <v>10</v>
      </c>
      <c r="E9" s="409" t="s">
        <v>13</v>
      </c>
      <c r="F9" s="82">
        <v>37</v>
      </c>
      <c r="G9" s="410"/>
      <c r="H9" s="82"/>
      <c r="I9" s="410" t="e">
        <f t="shared" si="7"/>
        <v>#DIV/0!</v>
      </c>
      <c r="J9" s="410" t="e">
        <f t="shared" si="8"/>
        <v>#DIV/0!</v>
      </c>
      <c r="K9" s="410" t="e">
        <f t="shared" ref="K9" si="11">K8</f>
        <v>#REF!</v>
      </c>
      <c r="L9" s="411" t="e">
        <f t="shared" si="9"/>
        <v>#REF!</v>
      </c>
      <c r="M9" s="412" t="e">
        <f t="shared" si="3"/>
        <v>#REF!</v>
      </c>
      <c r="N9" s="413" t="e">
        <f t="shared" ref="N9" si="12">K9</f>
        <v>#REF!</v>
      </c>
      <c r="O9" s="414" t="e">
        <f t="shared" si="4"/>
        <v>#REF!</v>
      </c>
      <c r="P9" s="411" t="e">
        <f t="shared" si="5"/>
        <v>#REF!</v>
      </c>
      <c r="Q9" s="412" t="e">
        <f t="shared" si="6"/>
        <v>#REF!</v>
      </c>
      <c r="R9" s="415"/>
      <c r="S9" s="95"/>
      <c r="T9" s="95"/>
      <c r="U9" s="95"/>
      <c r="V9" s="95"/>
      <c r="W9" s="95"/>
      <c r="X9" s="95"/>
      <c r="Y9" s="95"/>
    </row>
    <row r="10" spans="2:26" s="43" customFormat="1" x14ac:dyDescent="0.25">
      <c r="D10" s="402"/>
      <c r="E10" s="402"/>
      <c r="F10" s="403"/>
      <c r="G10" s="403"/>
      <c r="H10" s="403"/>
      <c r="I10" s="403"/>
      <c r="J10" s="403"/>
      <c r="K10" s="403"/>
      <c r="L10" s="404"/>
      <c r="M10" s="405"/>
      <c r="N10" s="405"/>
      <c r="O10" s="405"/>
      <c r="P10" s="405"/>
      <c r="Q10" s="405"/>
      <c r="R10" s="405"/>
      <c r="S10" s="95"/>
      <c r="T10" s="95"/>
      <c r="U10" s="408"/>
      <c r="V10" s="95"/>
      <c r="W10" s="95"/>
      <c r="X10" s="95"/>
      <c r="Y10" s="95"/>
    </row>
    <row r="11" spans="2:26" s="91" customFormat="1" x14ac:dyDescent="0.25">
      <c r="B11" s="55"/>
      <c r="D11" s="399" t="s">
        <v>10</v>
      </c>
      <c r="E11" s="399" t="s">
        <v>13</v>
      </c>
      <c r="F11" s="400">
        <f>(F4*G4+F5*G5+F6*G6+F7*G7+F8*G8+F9*G9)/G11</f>
        <v>83.766666666666666</v>
      </c>
      <c r="G11" s="363">
        <f>SUM(G4:G9)</f>
        <v>150</v>
      </c>
      <c r="H11" s="363">
        <f>SUM(H4:H9)</f>
        <v>21.64</v>
      </c>
      <c r="I11" s="363">
        <f>((F11*G11)+H11)/G11</f>
        <v>83.910933333333332</v>
      </c>
      <c r="J11" s="363">
        <f>I11*G11</f>
        <v>12586.64</v>
      </c>
      <c r="K11" s="363">
        <f>K4</f>
        <v>59.77</v>
      </c>
      <c r="L11" s="364">
        <f>(K11-I11)*G11</f>
        <v>-3621.1399999999994</v>
      </c>
      <c r="M11" s="365">
        <f>L11/J11</f>
        <v>-0.28769711376507151</v>
      </c>
      <c r="N11" s="366"/>
      <c r="O11" s="366"/>
      <c r="P11" s="364"/>
      <c r="Q11" s="365"/>
      <c r="R11" s="401"/>
      <c r="S11" s="77"/>
      <c r="T11" s="77"/>
      <c r="U11" s="200">
        <f>(('SG Portfolio'!$D$4+'SG Portfolio'!$D$5)-('SG Portfolio'!$E$17+'SG Portfolio'!$E$18+'SG Portfolio'!$E$19))+('SG Portfolio'!$E$17+'SG Portfolio'!$H$17)*(1-'Fee and Margin'!$E$25)+('SG Portfolio'!$E$18+'SG Portfolio'!$H$18)*(1-'Fee and Margin'!$E$26)+('SG Portfolio'!$E$19+'SG Portfolio'!$H$19)*(1-'Fee and Margin'!$E$27)</f>
        <v>4917.182198500298</v>
      </c>
      <c r="V11" s="200">
        <f>('SG Portfolio'!$E$17+'SG Portfolio'!$H$17)*'Fee and Margin'!$F$25+('SG Portfolio'!$E$18+'SG Portfolio'!$H$18)*'Fee and Margin'!$F$26+('SG Portfolio'!$E$19+'SG Portfolio'!$H$19)*'Fee and Margin'!$F$27-((('SG Portfolio'!$D$4+'SG Portfolio'!$D$5)-('SG Portfolio'!$E$17+'SG Portfolio'!$E$18+'SG Portfolio'!$E$19))+('SG Portfolio'!$E$17+'SG Portfolio'!$H$17+'SG Portfolio'!$E$18+'SG Portfolio'!$H$18+'SG Portfolio'!$E$19+'SG Portfolio'!$H$19))</f>
        <v>-7864.1984421156922</v>
      </c>
      <c r="W11" s="200">
        <f>('SG Portfolio'!$E$17+'SG Portfolio'!$H$17)*'Fee and Margin'!$G$25+('SG Portfolio'!$E$18+'SG Portfolio'!$H$18)*'Fee and Margin'!$G$26+('SG Portfolio'!$E$19+'SG Portfolio'!$H$19)*'Fee and Margin'!$G$27-((('SG Portfolio'!$D$4+'SG Portfolio'!$D$5)-('SG Portfolio'!$E$17+'SG Portfolio'!$E$18+'SG Portfolio'!$E$19))+('SG Portfolio'!$E$17+'SG Portfolio'!$H$17+'SG Portfolio'!$E$18+'SG Portfolio'!$H$18+'SG Portfolio'!$E$19+'SG Portfolio'!$H$19))</f>
        <v>-11302.661752602871</v>
      </c>
      <c r="X11" s="95"/>
      <c r="Y11" s="95"/>
    </row>
    <row r="12" spans="2:26" x14ac:dyDescent="0.25">
      <c r="D12" s="78" t="s">
        <v>10</v>
      </c>
      <c r="E12" s="78" t="s">
        <v>13</v>
      </c>
      <c r="F12" s="90">
        <f>$F$11</f>
        <v>83.766666666666666</v>
      </c>
      <c r="G12" s="81">
        <f>$G$11</f>
        <v>150</v>
      </c>
      <c r="H12" s="81">
        <f>$H$11</f>
        <v>21.64</v>
      </c>
      <c r="I12" s="81">
        <f t="shared" ref="I12:I17" si="13">((F12*G12)+H12)/G12</f>
        <v>83.910933333333332</v>
      </c>
      <c r="J12" s="81">
        <f t="shared" ref="J12:J17" si="14">I12*G12</f>
        <v>12586.64</v>
      </c>
      <c r="K12" s="81">
        <f>'AAPL Analysis'!H32</f>
        <v>104.8075</v>
      </c>
      <c r="L12" s="76">
        <f t="shared" ref="L12:L17" si="15">(K12-I12)*G12</f>
        <v>3134.4850000000006</v>
      </c>
      <c r="M12" s="77">
        <f t="shared" ref="M12:M17" si="16">L12/J12</f>
        <v>0.24903270451844184</v>
      </c>
      <c r="N12" s="77"/>
      <c r="O12" s="77"/>
      <c r="P12" s="76"/>
      <c r="Q12" s="77"/>
      <c r="R12" s="77"/>
      <c r="S12" s="77"/>
      <c r="T12" s="77"/>
      <c r="U12" s="200">
        <f>(('SG Portfolio'!$D$4+'SG Portfolio'!$D$5)-('SG Portfolio'!$E$17+'SG Portfolio'!$E$18+'SG Portfolio'!$E$19))+('SG Portfolio'!$E$17+'SG Portfolio'!$H$17)*(1-'Fee and Margin'!$E$25)+('SG Portfolio'!$E$18+'SG Portfolio'!$H$18)*(1-'Fee and Margin'!$E$26)+('SG Portfolio'!$E$19+'SG Portfolio'!$H$19)*(1-'Fee and Margin'!$E$27)</f>
        <v>4917.182198500298</v>
      </c>
      <c r="V12" s="200">
        <f>('SG Portfolio'!$E$17+'SG Portfolio'!$H$17)*'Fee and Margin'!$F$25+('SG Portfolio'!$E$18+'SG Portfolio'!$H$18)*'Fee and Margin'!$F$26+('SG Portfolio'!$E$19+'SG Portfolio'!$H$19)*'Fee and Margin'!$F$27-((('SG Portfolio'!$D$4+'SG Portfolio'!$D$5)-('SG Portfolio'!$E$17+'SG Portfolio'!$E$18+'SG Portfolio'!$E$19))+('SG Portfolio'!$E$17+'SG Portfolio'!$H$17+'SG Portfolio'!$E$18+'SG Portfolio'!$H$18+'SG Portfolio'!$E$19+'SG Portfolio'!$H$19))</f>
        <v>-7864.1984421156922</v>
      </c>
      <c r="W12" s="200">
        <f>('SG Portfolio'!$E$17+'SG Portfolio'!$H$17)*'Fee and Margin'!$G$25+('SG Portfolio'!$E$18+'SG Portfolio'!$H$18)*'Fee and Margin'!$G$26+('SG Portfolio'!$E$19+'SG Portfolio'!$H$19)*'Fee and Margin'!$G$27-((('SG Portfolio'!$D$4+'SG Portfolio'!$D$5)-('SG Portfolio'!$E$17+'SG Portfolio'!$E$18+'SG Portfolio'!$E$19))+('SG Portfolio'!$E$17+'SG Portfolio'!$H$17+'SG Portfolio'!$E$18+'SG Portfolio'!$H$18+'SG Portfolio'!$E$19+'SG Portfolio'!$H$19))</f>
        <v>-11302.661752602871</v>
      </c>
      <c r="X12" s="95"/>
      <c r="Y12" s="95"/>
    </row>
    <row r="13" spans="2:26" x14ac:dyDescent="0.25">
      <c r="D13" s="78" t="s">
        <v>10</v>
      </c>
      <c r="E13" s="78" t="s">
        <v>13</v>
      </c>
      <c r="F13" s="90">
        <f t="shared" ref="F13:F17" si="17">$F$11</f>
        <v>83.766666666666666</v>
      </c>
      <c r="G13" s="81">
        <f t="shared" ref="G13:G17" si="18">$G$11</f>
        <v>150</v>
      </c>
      <c r="H13" s="81">
        <f t="shared" ref="H13:H17" si="19">$H$11</f>
        <v>21.64</v>
      </c>
      <c r="I13" s="81">
        <f t="shared" si="13"/>
        <v>83.910933333333332</v>
      </c>
      <c r="J13" s="81">
        <f t="shared" si="14"/>
        <v>12586.64</v>
      </c>
      <c r="K13" s="448">
        <f>F6</f>
        <v>67.5</v>
      </c>
      <c r="L13" s="76">
        <f t="shared" si="15"/>
        <v>-2461.64</v>
      </c>
      <c r="M13" s="77">
        <f t="shared" si="16"/>
        <v>-0.19557562621954708</v>
      </c>
      <c r="N13" s="77"/>
      <c r="O13" s="77"/>
      <c r="P13" s="76"/>
      <c r="Q13" s="77"/>
      <c r="R13" s="77"/>
      <c r="S13" s="77"/>
      <c r="T13" s="77"/>
      <c r="U13" s="200">
        <f>(('SG Portfolio'!$D$4+'SG Portfolio'!$D$5)-('SG Portfolio'!$E$17+'SG Portfolio'!$E$18+'SG Portfolio'!$E$19))+('SG Portfolio'!$E$17+'SG Portfolio'!$H$17)*(1-'Fee and Margin'!$E$25)+('SG Portfolio'!$E$18+'SG Portfolio'!$H$18)*(1-'Fee and Margin'!$E$26)+('SG Portfolio'!$E$19+'SG Portfolio'!$H$19)*(1-'Fee and Margin'!$E$27)</f>
        <v>4917.182198500298</v>
      </c>
      <c r="V13" s="200">
        <f>('SG Portfolio'!$E$17+'SG Portfolio'!$H$17)*'Fee and Margin'!$F$25+('SG Portfolio'!$E$18+'SG Portfolio'!$H$18)*'Fee and Margin'!$F$26+('SG Portfolio'!$E$19+'SG Portfolio'!$H$19)*'Fee and Margin'!$F$27-((('SG Portfolio'!$D$4+'SG Portfolio'!$D$5)-('SG Portfolio'!$E$17+'SG Portfolio'!$E$18+'SG Portfolio'!$E$19))+('SG Portfolio'!$E$17+'SG Portfolio'!$H$17+'SG Portfolio'!$E$18+'SG Portfolio'!$H$18+'SG Portfolio'!$E$19+'SG Portfolio'!$H$19))</f>
        <v>-7864.1984421156922</v>
      </c>
      <c r="W13" s="200">
        <f>('SG Portfolio'!$E$17+'SG Portfolio'!$H$17)*'Fee and Margin'!$G$25+('SG Portfolio'!$E$18+'SG Portfolio'!$H$18)*'Fee and Margin'!$G$26+('SG Portfolio'!$E$19+'SG Portfolio'!$H$19)*'Fee and Margin'!$G$27-((('SG Portfolio'!$D$4+'SG Portfolio'!$D$5)-('SG Portfolio'!$E$17+'SG Portfolio'!$E$18+'SG Portfolio'!$E$19))+('SG Portfolio'!$E$17+'SG Portfolio'!$H$17+'SG Portfolio'!$E$18+'SG Portfolio'!$H$18+'SG Portfolio'!$E$19+'SG Portfolio'!$H$19))</f>
        <v>-11302.661752602871</v>
      </c>
      <c r="X13" s="95"/>
      <c r="Y13" s="95"/>
    </row>
    <row r="14" spans="2:26" x14ac:dyDescent="0.25">
      <c r="D14" s="78" t="s">
        <v>10</v>
      </c>
      <c r="E14" s="78" t="s">
        <v>13</v>
      </c>
      <c r="F14" s="90">
        <f t="shared" si="17"/>
        <v>83.766666666666666</v>
      </c>
      <c r="G14" s="81">
        <f t="shared" si="18"/>
        <v>150</v>
      </c>
      <c r="H14" s="81">
        <f t="shared" si="19"/>
        <v>21.64</v>
      </c>
      <c r="I14" s="81">
        <f t="shared" si="13"/>
        <v>83.910933333333332</v>
      </c>
      <c r="J14" s="81">
        <f t="shared" si="14"/>
        <v>12586.64</v>
      </c>
      <c r="K14" s="81">
        <f>'AAPL Analysis'!G32</f>
        <v>91.76066666666668</v>
      </c>
      <c r="L14" s="76">
        <f t="shared" si="15"/>
        <v>1177.4600000000021</v>
      </c>
      <c r="M14" s="77">
        <f t="shared" si="16"/>
        <v>9.3548397348299631E-2</v>
      </c>
      <c r="N14" s="77"/>
      <c r="O14" s="77"/>
      <c r="P14" s="76"/>
      <c r="Q14" s="77"/>
      <c r="R14" s="77"/>
      <c r="S14" s="77"/>
      <c r="T14" s="77"/>
      <c r="U14" s="200">
        <f>(('SG Portfolio'!$D$4+'SG Portfolio'!$D$5)-('SG Portfolio'!$E$17+'SG Portfolio'!$E$18+'SG Portfolio'!$E$19))+('SG Portfolio'!$E$17+'SG Portfolio'!$H$17)*(1-'Fee and Margin'!$E$25)+('SG Portfolio'!$E$18+'SG Portfolio'!$H$18)*(1-'Fee and Margin'!$E$26)+('SG Portfolio'!$E$19+'SG Portfolio'!$H$19)*(1-'Fee and Margin'!$E$27)</f>
        <v>4917.182198500298</v>
      </c>
      <c r="V14" s="200">
        <f>('SG Portfolio'!$E$17+'SG Portfolio'!$H$17)*'Fee and Margin'!$F$25+('SG Portfolio'!$E$18+'SG Portfolio'!$H$18)*'Fee and Margin'!$F$26+('SG Portfolio'!$E$19+'SG Portfolio'!$H$19)*'Fee and Margin'!$F$27-((('SG Portfolio'!$D$4+'SG Portfolio'!$D$5)-('SG Portfolio'!$E$17+'SG Portfolio'!$E$18+'SG Portfolio'!$E$19))+('SG Portfolio'!$E$17+'SG Portfolio'!$H$17+'SG Portfolio'!$E$18+'SG Portfolio'!$H$18+'SG Portfolio'!$E$19+'SG Portfolio'!$H$19))</f>
        <v>-7864.1984421156922</v>
      </c>
      <c r="W14" s="200">
        <f>('SG Portfolio'!$E$17+'SG Portfolio'!$H$17)*'Fee and Margin'!$G$25+('SG Portfolio'!$E$18+'SG Portfolio'!$H$18)*'Fee and Margin'!$G$26+('SG Portfolio'!$E$19+'SG Portfolio'!$H$19)*'Fee and Margin'!$G$27-((('SG Portfolio'!$D$4+'SG Portfolio'!$D$5)-('SG Portfolio'!$E$17+'SG Portfolio'!$E$18+'SG Portfolio'!$E$19))+('SG Portfolio'!$E$17+'SG Portfolio'!$H$17+'SG Portfolio'!$E$18+'SG Portfolio'!$H$18+'SG Portfolio'!$E$19+'SG Portfolio'!$H$19))</f>
        <v>-11302.661752602871</v>
      </c>
      <c r="X14" s="95"/>
      <c r="Y14" s="95"/>
    </row>
    <row r="15" spans="2:26" x14ac:dyDescent="0.25">
      <c r="D15" s="78" t="s">
        <v>10</v>
      </c>
      <c r="E15" s="78" t="s">
        <v>13</v>
      </c>
      <c r="F15" s="90">
        <f t="shared" si="17"/>
        <v>83.766666666666666</v>
      </c>
      <c r="G15" s="81">
        <f t="shared" si="18"/>
        <v>150</v>
      </c>
      <c r="H15" s="81">
        <f t="shared" si="19"/>
        <v>21.64</v>
      </c>
      <c r="I15" s="81">
        <f t="shared" si="13"/>
        <v>83.910933333333332</v>
      </c>
      <c r="J15" s="81">
        <f t="shared" si="14"/>
        <v>12586.64</v>
      </c>
      <c r="K15" s="448">
        <f>F8</f>
        <v>46</v>
      </c>
      <c r="L15" s="76">
        <f t="shared" si="15"/>
        <v>-5686.6399999999994</v>
      </c>
      <c r="M15" s="77">
        <f t="shared" si="16"/>
        <v>-0.4517996860162839</v>
      </c>
      <c r="N15" s="77"/>
      <c r="O15" s="77"/>
      <c r="P15" s="76"/>
      <c r="Q15" s="77"/>
      <c r="R15" s="77"/>
      <c r="S15" s="77"/>
      <c r="T15" s="77"/>
      <c r="U15" s="200">
        <f>(('SG Portfolio'!$D$4+'SG Portfolio'!$D$5)-('SG Portfolio'!$E$17+'SG Portfolio'!$E$18+'SG Portfolio'!$E$19))+('SG Portfolio'!$E$17+'SG Portfolio'!$H$17)*(1-'Fee and Margin'!$E$25)+('SG Portfolio'!$E$18+'SG Portfolio'!$H$18)*(1-'Fee and Margin'!$E$26)+('SG Portfolio'!$E$19+'SG Portfolio'!$H$19)*(1-'Fee and Margin'!$E$27)</f>
        <v>4917.182198500298</v>
      </c>
      <c r="V15" s="200">
        <f>('SG Portfolio'!$E$17+'SG Portfolio'!$H$17)*'Fee and Margin'!$F$25+('SG Portfolio'!$E$18+'SG Portfolio'!$H$18)*'Fee and Margin'!$F$26+('SG Portfolio'!$E$19+'SG Portfolio'!$H$19)*'Fee and Margin'!$F$27-((('SG Portfolio'!$D$4+'SG Portfolio'!$D$5)-('SG Portfolio'!$E$17+'SG Portfolio'!$E$18+'SG Portfolio'!$E$19))+('SG Portfolio'!$E$17+'SG Portfolio'!$H$17+'SG Portfolio'!$E$18+'SG Portfolio'!$H$18+'SG Portfolio'!$E$19+'SG Portfolio'!$H$19))</f>
        <v>-7864.1984421156922</v>
      </c>
      <c r="W15" s="200">
        <f>('SG Portfolio'!$E$17+'SG Portfolio'!$H$17)*'Fee and Margin'!$G$25+('SG Portfolio'!$E$18+'SG Portfolio'!$H$18)*'Fee and Margin'!$G$26+('SG Portfolio'!$E$19+'SG Portfolio'!$H$19)*'Fee and Margin'!$G$27-((('SG Portfolio'!$D$4+'SG Portfolio'!$D$5)-('SG Portfolio'!$E$17+'SG Portfolio'!$E$18+'SG Portfolio'!$E$19))+('SG Portfolio'!$E$17+'SG Portfolio'!$H$17+'SG Portfolio'!$E$18+'SG Portfolio'!$H$18+'SG Portfolio'!$E$19+'SG Portfolio'!$H$19))</f>
        <v>-11302.661752602871</v>
      </c>
      <c r="X15" s="95"/>
      <c r="Y15" s="95"/>
    </row>
    <row r="16" spans="2:26" x14ac:dyDescent="0.25">
      <c r="D16" s="78" t="s">
        <v>10</v>
      </c>
      <c r="E16" s="78" t="s">
        <v>13</v>
      </c>
      <c r="F16" s="90">
        <f t="shared" si="17"/>
        <v>83.766666666666666</v>
      </c>
      <c r="G16" s="81">
        <f t="shared" si="18"/>
        <v>150</v>
      </c>
      <c r="H16" s="81">
        <f t="shared" si="19"/>
        <v>21.64</v>
      </c>
      <c r="I16" s="81">
        <f t="shared" si="13"/>
        <v>83.910933333333332</v>
      </c>
      <c r="J16" s="81">
        <f t="shared" si="14"/>
        <v>12586.64</v>
      </c>
      <c r="K16" s="81">
        <f>'AAPL Analysis'!F32</f>
        <v>78.713833333333355</v>
      </c>
      <c r="L16" s="76">
        <f t="shared" si="15"/>
        <v>-779.56499999999664</v>
      </c>
      <c r="M16" s="77">
        <f t="shared" si="16"/>
        <v>-6.1935909821842577E-2</v>
      </c>
      <c r="N16" s="77"/>
      <c r="O16" s="77"/>
      <c r="P16" s="76"/>
      <c r="Q16" s="77"/>
      <c r="R16" s="77"/>
      <c r="S16" s="77"/>
      <c r="T16" s="77"/>
      <c r="U16" s="200">
        <f>(('SG Portfolio'!$D$4+'SG Portfolio'!$D$5)-('SG Portfolio'!$E$17+'SG Portfolio'!$E$18+'SG Portfolio'!$E$19))+('SG Portfolio'!$E$17+'SG Portfolio'!$H$17)*(1-'Fee and Margin'!$E$25)+('SG Portfolio'!$E$18+'SG Portfolio'!$H$18)*(1-'Fee and Margin'!$E$26)+('SG Portfolio'!$E$19+'SG Portfolio'!$H$19)*(1-'Fee and Margin'!$E$27)</f>
        <v>4917.182198500298</v>
      </c>
      <c r="V16" s="200">
        <f>('SG Portfolio'!$E$17+'SG Portfolio'!$H$17)*'Fee and Margin'!$F$25+('SG Portfolio'!$E$18+'SG Portfolio'!$H$18)*'Fee and Margin'!$F$26+('SG Portfolio'!$E$19+'SG Portfolio'!$H$19)*'Fee and Margin'!$F$27-((('SG Portfolio'!$D$4+'SG Portfolio'!$D$5)-('SG Portfolio'!$E$17+'SG Portfolio'!$E$18+'SG Portfolio'!$E$19))+('SG Portfolio'!$E$17+'SG Portfolio'!$H$17+'SG Portfolio'!$E$18+'SG Portfolio'!$H$18+'SG Portfolio'!$E$19+'SG Portfolio'!$H$19))</f>
        <v>-7864.1984421156922</v>
      </c>
      <c r="W16" s="200">
        <f>('SG Portfolio'!$E$17+'SG Portfolio'!$H$17)*'Fee and Margin'!$G$25+('SG Portfolio'!$E$18+'SG Portfolio'!$H$18)*'Fee and Margin'!$G$26+('SG Portfolio'!$E$19+'SG Portfolio'!$H$19)*'Fee and Margin'!$G$27-((('SG Portfolio'!$D$4+'SG Portfolio'!$D$5)-('SG Portfolio'!$E$17+'SG Portfolio'!$E$18+'SG Portfolio'!$E$19))+('SG Portfolio'!$E$17+'SG Portfolio'!$H$17+'SG Portfolio'!$E$18+'SG Portfolio'!$H$18+'SG Portfolio'!$E$19+'SG Portfolio'!$H$19))</f>
        <v>-11302.661752602871</v>
      </c>
      <c r="X16" s="95"/>
      <c r="Y16" s="95"/>
    </row>
    <row r="17" spans="4:25" x14ac:dyDescent="0.25">
      <c r="D17" s="78" t="s">
        <v>10</v>
      </c>
      <c r="E17" s="78" t="s">
        <v>13</v>
      </c>
      <c r="F17" s="90">
        <f t="shared" si="17"/>
        <v>83.766666666666666</v>
      </c>
      <c r="G17" s="81">
        <f t="shared" si="18"/>
        <v>150</v>
      </c>
      <c r="H17" s="81">
        <f t="shared" si="19"/>
        <v>21.64</v>
      </c>
      <c r="I17" s="81">
        <f t="shared" si="13"/>
        <v>83.910933333333332</v>
      </c>
      <c r="J17" s="81">
        <f t="shared" si="14"/>
        <v>12586.64</v>
      </c>
      <c r="K17" s="81">
        <f>'AAPL Analysis'!I32</f>
        <v>73.198300000000003</v>
      </c>
      <c r="L17" s="76">
        <f t="shared" si="15"/>
        <v>-1606.8949999999993</v>
      </c>
      <c r="M17" s="77">
        <f t="shared" si="16"/>
        <v>-0.12766671645490768</v>
      </c>
      <c r="N17" s="77"/>
      <c r="O17" s="77"/>
      <c r="P17" s="76"/>
      <c r="Q17" s="77"/>
      <c r="R17" s="77"/>
      <c r="S17" s="77"/>
      <c r="T17" s="77"/>
      <c r="U17" s="200">
        <f>(('SG Portfolio'!$D$4+'SG Portfolio'!$D$5)-('SG Portfolio'!$E$17+'SG Portfolio'!$E$18+'SG Portfolio'!$E$19))+('SG Portfolio'!$E$17+'SG Portfolio'!$H$17)*(1-'Fee and Margin'!$E$25)+('SG Portfolio'!$E$18+'SG Portfolio'!$H$18)*(1-'Fee and Margin'!$E$26)+('SG Portfolio'!$E$19+'SG Portfolio'!$H$19)*(1-'Fee and Margin'!$E$27)</f>
        <v>4917.182198500298</v>
      </c>
      <c r="V17" s="200">
        <f>('SG Portfolio'!$E$17+'SG Portfolio'!$H$17)*'Fee and Margin'!$F$25+('SG Portfolio'!$E$18+'SG Portfolio'!$H$18)*'Fee and Margin'!$F$26+('SG Portfolio'!$E$19+'SG Portfolio'!$H$19)*'Fee and Margin'!$F$27-((('SG Portfolio'!$D$4+'SG Portfolio'!$D$5)-('SG Portfolio'!$E$17+'SG Portfolio'!$E$18+'SG Portfolio'!$E$19))+('SG Portfolio'!$E$17+'SG Portfolio'!$H$17+'SG Portfolio'!$E$18+'SG Portfolio'!$H$18+'SG Portfolio'!$E$19+'SG Portfolio'!$H$19))</f>
        <v>-7864.1984421156922</v>
      </c>
      <c r="W17" s="200">
        <f>('SG Portfolio'!$E$17+'SG Portfolio'!$H$17)*'Fee and Margin'!$G$25+('SG Portfolio'!$E$18+'SG Portfolio'!$H$18)*'Fee and Margin'!$G$26+('SG Portfolio'!$E$19+'SG Portfolio'!$H$19)*'Fee and Margin'!$G$27-((('SG Portfolio'!$D$4+'SG Portfolio'!$D$5)-('SG Portfolio'!$E$17+'SG Portfolio'!$E$18+'SG Portfolio'!$E$19))+('SG Portfolio'!$E$17+'SG Portfolio'!$H$17+'SG Portfolio'!$E$18+'SG Portfolio'!$H$18+'SG Portfolio'!$E$19+'SG Portfolio'!$H$19))</f>
        <v>-11302.661752602871</v>
      </c>
      <c r="X17" s="95"/>
      <c r="Y17" s="95"/>
    </row>
    <row r="18" spans="4:25" x14ac:dyDescent="0.25">
      <c r="D18" s="91"/>
      <c r="E18" s="91"/>
      <c r="F18" s="92"/>
      <c r="G18" s="93"/>
      <c r="H18" s="93"/>
      <c r="I18" s="93"/>
      <c r="J18" s="93"/>
      <c r="K18" s="93"/>
      <c r="L18" s="94"/>
      <c r="M18" s="95"/>
      <c r="N18" s="95"/>
      <c r="O18" s="95"/>
      <c r="P18" s="94"/>
      <c r="Q18" s="95"/>
      <c r="R18" s="95"/>
      <c r="S18" s="95"/>
      <c r="T18" s="95"/>
      <c r="U18" s="397"/>
      <c r="V18" s="397"/>
      <c r="W18" s="397"/>
      <c r="X18" s="95"/>
      <c r="Y18" s="95"/>
    </row>
    <row r="19" spans="4:25" x14ac:dyDescent="0.25">
      <c r="D19" s="78" t="s">
        <v>10</v>
      </c>
      <c r="E19" s="78" t="s">
        <v>13</v>
      </c>
      <c r="F19" s="81">
        <f>I11</f>
        <v>83.910933333333332</v>
      </c>
      <c r="G19" s="81">
        <v>30</v>
      </c>
      <c r="H19" s="81">
        <v>8.8800000000000008</v>
      </c>
      <c r="I19" s="81">
        <f t="shared" ref="I19:I24" si="20">((F19*G19)+H19)/G19</f>
        <v>84.206933333333339</v>
      </c>
      <c r="J19" s="81">
        <f t="shared" ref="J19:J24" si="21">I19*G19</f>
        <v>2526.2080000000001</v>
      </c>
      <c r="K19" s="141">
        <f>K4</f>
        <v>59.77</v>
      </c>
      <c r="L19" s="76">
        <f>(K19-I19)*G19</f>
        <v>-733.10800000000006</v>
      </c>
      <c r="M19" s="77">
        <f>L19/J19</f>
        <v>-0.29020096524118366</v>
      </c>
      <c r="N19" s="362">
        <v>280</v>
      </c>
      <c r="O19" s="362">
        <f t="shared" ref="O19:O24" si="22">N19*G19</f>
        <v>8400</v>
      </c>
      <c r="P19" s="76">
        <f>(N19-I19)*G19</f>
        <v>5873.7920000000004</v>
      </c>
      <c r="Q19" s="77">
        <f>P19/J19</f>
        <v>2.3251418727199029</v>
      </c>
      <c r="R19" s="398" t="s">
        <v>218</v>
      </c>
      <c r="S19" s="95"/>
      <c r="T19" s="95"/>
      <c r="U19" s="397"/>
      <c r="V19" s="397"/>
      <c r="W19" s="397"/>
      <c r="X19" s="95"/>
      <c r="Y19" s="95"/>
    </row>
    <row r="20" spans="4:25" x14ac:dyDescent="0.25">
      <c r="D20" s="78" t="s">
        <v>10</v>
      </c>
      <c r="E20" s="78" t="s">
        <v>13</v>
      </c>
      <c r="F20" s="81">
        <f t="shared" ref="F20:F24" si="23">I12</f>
        <v>83.910933333333332</v>
      </c>
      <c r="G20" s="81">
        <v>30</v>
      </c>
      <c r="H20" s="81">
        <v>8.8800000000000008</v>
      </c>
      <c r="I20" s="81">
        <f t="shared" si="20"/>
        <v>84.206933333333339</v>
      </c>
      <c r="J20" s="81">
        <f t="shared" si="21"/>
        <v>2526.2080000000001</v>
      </c>
      <c r="K20" s="141">
        <f>K4</f>
        <v>59.77</v>
      </c>
      <c r="L20" s="76">
        <f t="shared" ref="L20:L24" si="24">(K20-I20)*G20</f>
        <v>-733.10800000000006</v>
      </c>
      <c r="M20" s="77">
        <f t="shared" ref="M20:M24" si="25">L20/J20</f>
        <v>-0.29020096524118366</v>
      </c>
      <c r="N20" s="362">
        <v>290</v>
      </c>
      <c r="O20" s="362">
        <f t="shared" si="22"/>
        <v>8700</v>
      </c>
      <c r="P20" s="76">
        <f t="shared" ref="P20:P24" si="26">(N20-I20)*G20</f>
        <v>6173.7920000000004</v>
      </c>
      <c r="Q20" s="77">
        <f t="shared" ref="Q20:Q24" si="27">P20/J20</f>
        <v>2.4438969396027566</v>
      </c>
      <c r="R20" s="398" t="s">
        <v>218</v>
      </c>
      <c r="S20" s="95"/>
      <c r="T20" s="95"/>
      <c r="U20" s="397"/>
      <c r="V20" s="397"/>
      <c r="W20" s="397"/>
      <c r="X20" s="95"/>
      <c r="Y20" s="95"/>
    </row>
    <row r="21" spans="4:25" x14ac:dyDescent="0.25">
      <c r="D21" s="78" t="s">
        <v>10</v>
      </c>
      <c r="E21" s="78" t="s">
        <v>13</v>
      </c>
      <c r="F21" s="81">
        <f t="shared" si="23"/>
        <v>83.910933333333332</v>
      </c>
      <c r="G21" s="81">
        <v>40</v>
      </c>
      <c r="H21" s="81">
        <v>8.8800000000000008</v>
      </c>
      <c r="I21" s="81">
        <f t="shared" si="20"/>
        <v>84.132933333333341</v>
      </c>
      <c r="J21" s="81">
        <f t="shared" si="21"/>
        <v>3365.3173333333334</v>
      </c>
      <c r="K21" s="141" t="e">
        <f>#REF!</f>
        <v>#REF!</v>
      </c>
      <c r="L21" s="76" t="e">
        <f t="shared" si="24"/>
        <v>#REF!</v>
      </c>
      <c r="M21" s="77" t="e">
        <f t="shared" si="25"/>
        <v>#REF!</v>
      </c>
      <c r="N21" s="362">
        <v>300</v>
      </c>
      <c r="O21" s="362">
        <f t="shared" si="22"/>
        <v>12000</v>
      </c>
      <c r="P21" s="76">
        <f t="shared" si="26"/>
        <v>8634.6826666666657</v>
      </c>
      <c r="Q21" s="77">
        <f t="shared" si="27"/>
        <v>2.5657855742578803</v>
      </c>
      <c r="R21" s="398" t="s">
        <v>218</v>
      </c>
      <c r="S21" s="95"/>
      <c r="T21" s="95"/>
      <c r="U21" s="397"/>
      <c r="V21" s="397"/>
      <c r="W21" s="397"/>
      <c r="X21" s="95"/>
      <c r="Y21" s="95"/>
    </row>
    <row r="22" spans="4:25" x14ac:dyDescent="0.25">
      <c r="D22" s="78" t="s">
        <v>10</v>
      </c>
      <c r="E22" s="78" t="s">
        <v>13</v>
      </c>
      <c r="F22" s="81">
        <f t="shared" si="23"/>
        <v>83.910933333333332</v>
      </c>
      <c r="G22" s="81"/>
      <c r="H22" s="81"/>
      <c r="I22" s="81" t="e">
        <f t="shared" si="20"/>
        <v>#DIV/0!</v>
      </c>
      <c r="J22" s="81" t="e">
        <f t="shared" si="21"/>
        <v>#DIV/0!</v>
      </c>
      <c r="K22" s="141" t="e">
        <f>#REF!</f>
        <v>#REF!</v>
      </c>
      <c r="L22" s="76" t="e">
        <f t="shared" si="24"/>
        <v>#REF!</v>
      </c>
      <c r="M22" s="77" t="e">
        <f t="shared" si="25"/>
        <v>#REF!</v>
      </c>
      <c r="N22" s="362">
        <v>280</v>
      </c>
      <c r="O22" s="362">
        <f t="shared" si="22"/>
        <v>0</v>
      </c>
      <c r="P22" s="76" t="e">
        <f t="shared" si="26"/>
        <v>#DIV/0!</v>
      </c>
      <c r="Q22" s="77" t="e">
        <f t="shared" si="27"/>
        <v>#DIV/0!</v>
      </c>
      <c r="R22" s="398" t="s">
        <v>218</v>
      </c>
      <c r="S22" s="95"/>
      <c r="T22" s="95"/>
      <c r="U22" s="397"/>
      <c r="V22" s="397"/>
      <c r="W22" s="397"/>
      <c r="X22" s="95"/>
      <c r="Y22" s="95"/>
    </row>
    <row r="23" spans="4:25" x14ac:dyDescent="0.25">
      <c r="D23" s="78" t="s">
        <v>10</v>
      </c>
      <c r="E23" s="78" t="s">
        <v>13</v>
      </c>
      <c r="F23" s="81">
        <f t="shared" si="23"/>
        <v>83.910933333333332</v>
      </c>
      <c r="G23" s="81"/>
      <c r="H23" s="81"/>
      <c r="I23" s="81" t="e">
        <f t="shared" si="20"/>
        <v>#DIV/0!</v>
      </c>
      <c r="J23" s="81" t="e">
        <f t="shared" si="21"/>
        <v>#DIV/0!</v>
      </c>
      <c r="K23" s="141" t="e">
        <f t="shared" ref="K23" si="28">K8</f>
        <v>#REF!</v>
      </c>
      <c r="L23" s="76" t="e">
        <f t="shared" si="24"/>
        <v>#REF!</v>
      </c>
      <c r="M23" s="77" t="e">
        <f t="shared" si="25"/>
        <v>#REF!</v>
      </c>
      <c r="N23" s="362">
        <v>290</v>
      </c>
      <c r="O23" s="362">
        <f t="shared" si="22"/>
        <v>0</v>
      </c>
      <c r="P23" s="76" t="e">
        <f t="shared" si="26"/>
        <v>#DIV/0!</v>
      </c>
      <c r="Q23" s="77" t="e">
        <f t="shared" si="27"/>
        <v>#DIV/0!</v>
      </c>
      <c r="R23" s="398" t="s">
        <v>218</v>
      </c>
      <c r="S23" s="95"/>
      <c r="T23" s="95"/>
      <c r="U23" s="397"/>
      <c r="V23" s="397"/>
      <c r="W23" s="397"/>
      <c r="X23" s="95"/>
      <c r="Y23" s="95"/>
    </row>
    <row r="24" spans="4:25" x14ac:dyDescent="0.25">
      <c r="D24" s="78" t="s">
        <v>10</v>
      </c>
      <c r="E24" s="78" t="s">
        <v>13</v>
      </c>
      <c r="F24" s="81">
        <f t="shared" si="23"/>
        <v>83.910933333333332</v>
      </c>
      <c r="G24" s="81"/>
      <c r="H24" s="81"/>
      <c r="I24" s="81" t="e">
        <f t="shared" si="20"/>
        <v>#DIV/0!</v>
      </c>
      <c r="J24" s="81" t="e">
        <f t="shared" si="21"/>
        <v>#DIV/0!</v>
      </c>
      <c r="K24" s="141" t="e">
        <f>#REF!</f>
        <v>#REF!</v>
      </c>
      <c r="L24" s="76" t="e">
        <f t="shared" si="24"/>
        <v>#REF!</v>
      </c>
      <c r="M24" s="77" t="e">
        <f t="shared" si="25"/>
        <v>#REF!</v>
      </c>
      <c r="N24" s="362">
        <v>300</v>
      </c>
      <c r="O24" s="362">
        <f t="shared" si="22"/>
        <v>0</v>
      </c>
      <c r="P24" s="76" t="e">
        <f t="shared" si="26"/>
        <v>#DIV/0!</v>
      </c>
      <c r="Q24" s="77" t="e">
        <f t="shared" si="27"/>
        <v>#DIV/0!</v>
      </c>
      <c r="R24" s="361" t="s">
        <v>218</v>
      </c>
      <c r="S24" s="95"/>
      <c r="T24" s="95"/>
      <c r="U24" s="397"/>
      <c r="V24" s="397"/>
      <c r="W24" s="397"/>
      <c r="X24" s="95"/>
      <c r="Y24" s="95"/>
    </row>
    <row r="25" spans="4:25" x14ac:dyDescent="0.25">
      <c r="D25" s="91"/>
      <c r="E25" s="91"/>
      <c r="F25" s="92"/>
      <c r="G25" s="93"/>
      <c r="H25" s="93"/>
      <c r="I25" s="93"/>
      <c r="J25" s="93"/>
      <c r="K25" s="93"/>
      <c r="L25" s="94"/>
      <c r="M25" s="95"/>
      <c r="N25" s="95"/>
      <c r="O25" s="95"/>
      <c r="P25" s="94"/>
      <c r="Q25" s="95"/>
      <c r="R25" s="95"/>
      <c r="S25" s="95"/>
      <c r="T25" s="95"/>
      <c r="U25" s="397"/>
      <c r="V25" s="397"/>
      <c r="W25" s="397"/>
      <c r="X25" s="95"/>
      <c r="Y25" s="95"/>
    </row>
    <row r="26" spans="4:25" x14ac:dyDescent="0.25">
      <c r="D26" s="91"/>
      <c r="E26" s="91"/>
      <c r="F26" s="92"/>
      <c r="G26" s="93"/>
      <c r="H26" s="93"/>
      <c r="I26" s="93"/>
      <c r="J26" s="93"/>
      <c r="K26" s="93"/>
      <c r="L26" s="94"/>
      <c r="M26" s="95"/>
      <c r="N26" s="95"/>
      <c r="O26" s="95"/>
      <c r="P26" s="94"/>
      <c r="Q26" s="95"/>
      <c r="R26" s="95"/>
      <c r="S26" s="95"/>
      <c r="T26" s="95"/>
      <c r="U26" s="397"/>
      <c r="V26" s="397"/>
      <c r="W26" s="397"/>
      <c r="X26" s="95"/>
      <c r="Y26" s="95"/>
    </row>
    <row r="27" spans="4:25" x14ac:dyDescent="0.25">
      <c r="P27" s="289"/>
    </row>
    <row r="30" spans="4:25" x14ac:dyDescent="0.25">
      <c r="E30" s="46"/>
      <c r="F30" s="46"/>
      <c r="G30" s="440" t="s">
        <v>290</v>
      </c>
      <c r="H30" s="440" t="s">
        <v>269</v>
      </c>
      <c r="I30" s="440" t="s">
        <v>272</v>
      </c>
      <c r="J30" s="440" t="s">
        <v>270</v>
      </c>
      <c r="K30" s="440" t="s">
        <v>271</v>
      </c>
      <c r="L30" s="440" t="s">
        <v>43</v>
      </c>
      <c r="M30" s="440" t="s">
        <v>44</v>
      </c>
      <c r="N30" s="440" t="s">
        <v>65</v>
      </c>
      <c r="O30" s="440" t="s">
        <v>45</v>
      </c>
      <c r="P30" s="440" t="s">
        <v>46</v>
      </c>
    </row>
    <row r="31" spans="4:25" x14ac:dyDescent="0.25">
      <c r="E31" s="46" t="s">
        <v>291</v>
      </c>
      <c r="F31" s="46"/>
      <c r="G31" s="200">
        <v>42588</v>
      </c>
      <c r="H31" s="200">
        <f>G31/5</f>
        <v>8517.6</v>
      </c>
      <c r="I31" s="200">
        <f>H31/13</f>
        <v>655.20000000000005</v>
      </c>
      <c r="J31" s="394">
        <v>85.57</v>
      </c>
      <c r="K31" s="394">
        <v>79.75</v>
      </c>
      <c r="L31" s="394">
        <v>81.96</v>
      </c>
      <c r="M31" s="394">
        <v>82.52</v>
      </c>
      <c r="N31" s="394">
        <v>83.03</v>
      </c>
      <c r="O31" s="394">
        <v>85.94</v>
      </c>
      <c r="P31" s="394">
        <v>90.97</v>
      </c>
    </row>
    <row r="32" spans="4:25" x14ac:dyDescent="0.25">
      <c r="E32" s="46" t="s">
        <v>244</v>
      </c>
      <c r="F32" s="46"/>
      <c r="G32" s="200"/>
      <c r="H32" s="200">
        <v>8313</v>
      </c>
      <c r="I32" s="200">
        <f>H32/13</f>
        <v>639.46153846153845</v>
      </c>
      <c r="J32" s="394">
        <v>81.33</v>
      </c>
      <c r="K32" s="394">
        <v>79.75</v>
      </c>
      <c r="L32" s="46"/>
      <c r="M32" s="46"/>
      <c r="N32" s="46"/>
      <c r="O32" s="46"/>
      <c r="P32" s="46"/>
    </row>
  </sheetData>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3DD3C-4037-4C2C-A6D3-89652E3CF756}">
  <sheetPr>
    <tabColor rgb="FF00B050"/>
  </sheetPr>
  <dimension ref="B1:X59"/>
  <sheetViews>
    <sheetView showGridLines="0" topLeftCell="A28" workbookViewId="0">
      <selection activeCell="K48" sqref="K48"/>
    </sheetView>
  </sheetViews>
  <sheetFormatPr defaultColWidth="9.140625" defaultRowHeight="15" x14ac:dyDescent="0.25"/>
  <cols>
    <col min="1" max="1" width="9.140625" style="39"/>
    <col min="2" max="2" width="33" style="39" bestFit="1" customWidth="1"/>
    <col min="3" max="3" width="18.28515625" style="39" bestFit="1" customWidth="1"/>
    <col min="4" max="4" width="12.7109375" style="39" bestFit="1" customWidth="1"/>
    <col min="5" max="5" width="9.7109375" style="39" bestFit="1" customWidth="1"/>
    <col min="6" max="6" width="13.42578125" style="39" bestFit="1" customWidth="1"/>
    <col min="7" max="12" width="10.5703125" style="39" bestFit="1" customWidth="1"/>
    <col min="13" max="13" width="10.7109375" style="39" bestFit="1" customWidth="1"/>
    <col min="14" max="17" width="10.5703125" style="39" bestFit="1" customWidth="1"/>
    <col min="18" max="18" width="10.7109375" style="39" bestFit="1" customWidth="1"/>
    <col min="19" max="24" width="10.5703125" style="39" bestFit="1" customWidth="1"/>
    <col min="25" max="16384" width="9.140625" style="39"/>
  </cols>
  <sheetData>
    <row r="1" spans="2:24" x14ac:dyDescent="0.25">
      <c r="C1" s="441"/>
    </row>
    <row r="2" spans="2:24" x14ac:dyDescent="0.25">
      <c r="B2" s="39" t="e" vm="40">
        <v>#VALUE!</v>
      </c>
      <c r="C2" s="441"/>
      <c r="D2" s="442"/>
      <c r="E2" s="443"/>
      <c r="H2" s="323"/>
    </row>
    <row r="3" spans="2:24" x14ac:dyDescent="0.25">
      <c r="B3" s="569"/>
      <c r="C3" s="440">
        <v>2021</v>
      </c>
      <c r="D3" s="570">
        <v>2020</v>
      </c>
      <c r="E3" s="571"/>
      <c r="F3" s="571"/>
      <c r="G3" s="572"/>
      <c r="H3" s="570">
        <v>2019</v>
      </c>
      <c r="I3" s="571"/>
      <c r="J3" s="571"/>
      <c r="K3" s="572"/>
      <c r="L3" s="570">
        <v>2018</v>
      </c>
      <c r="M3" s="571"/>
      <c r="N3" s="571"/>
      <c r="O3" s="572"/>
      <c r="P3" s="570">
        <v>2017</v>
      </c>
      <c r="Q3" s="571"/>
      <c r="R3" s="571"/>
      <c r="S3" s="572"/>
      <c r="T3" s="570">
        <v>2016</v>
      </c>
      <c r="U3" s="571"/>
      <c r="V3" s="571"/>
      <c r="W3" s="572"/>
      <c r="X3" s="440" t="s">
        <v>246</v>
      </c>
    </row>
    <row r="4" spans="2:24" x14ac:dyDescent="0.25">
      <c r="B4" s="568"/>
      <c r="C4" s="440" t="s">
        <v>244</v>
      </c>
      <c r="D4" s="440" t="s">
        <v>232</v>
      </c>
      <c r="E4" s="440" t="s">
        <v>231</v>
      </c>
      <c r="F4" s="440" t="s">
        <v>230</v>
      </c>
      <c r="G4" s="440" t="s">
        <v>229</v>
      </c>
      <c r="H4" s="440" t="s">
        <v>232</v>
      </c>
      <c r="I4" s="440" t="s">
        <v>231</v>
      </c>
      <c r="J4" s="440" t="s">
        <v>230</v>
      </c>
      <c r="K4" s="440" t="s">
        <v>229</v>
      </c>
      <c r="L4" s="440" t="s">
        <v>232</v>
      </c>
      <c r="M4" s="440" t="s">
        <v>231</v>
      </c>
      <c r="N4" s="440" t="s">
        <v>230</v>
      </c>
      <c r="O4" s="440" t="s">
        <v>229</v>
      </c>
      <c r="P4" s="440" t="s">
        <v>232</v>
      </c>
      <c r="Q4" s="440" t="s">
        <v>231</v>
      </c>
      <c r="R4" s="440" t="s">
        <v>230</v>
      </c>
      <c r="S4" s="440" t="s">
        <v>229</v>
      </c>
      <c r="T4" s="440" t="s">
        <v>232</v>
      </c>
      <c r="U4" s="440" t="s">
        <v>231</v>
      </c>
      <c r="V4" s="440" t="s">
        <v>230</v>
      </c>
      <c r="W4" s="440" t="s">
        <v>229</v>
      </c>
      <c r="X4" s="440"/>
    </row>
    <row r="5" spans="2:24" x14ac:dyDescent="0.25">
      <c r="B5" s="46" t="s">
        <v>233</v>
      </c>
      <c r="C5" s="388" cm="1">
        <f t="array" ref="C5">_FV(B2,"Price")</f>
        <v>59.77</v>
      </c>
      <c r="D5" s="388">
        <v>87.9</v>
      </c>
      <c r="E5" s="388">
        <v>81.52</v>
      </c>
      <c r="F5" s="388">
        <v>63.79</v>
      </c>
      <c r="G5" s="388">
        <v>43.1</v>
      </c>
      <c r="H5" s="388">
        <v>35.229999999999997</v>
      </c>
      <c r="I5" s="388">
        <v>31.15</v>
      </c>
      <c r="J5" s="388">
        <v>29.91</v>
      </c>
      <c r="K5" s="388">
        <v>30.27</v>
      </c>
      <c r="L5" s="388">
        <v>20.93</v>
      </c>
      <c r="M5" s="388">
        <v>23.52</v>
      </c>
      <c r="N5" s="388">
        <v>35.86</v>
      </c>
      <c r="O5" s="388">
        <v>36.51</v>
      </c>
      <c r="P5" s="388">
        <v>41.42</v>
      </c>
      <c r="Q5" s="388">
        <v>37.520000000000003</v>
      </c>
      <c r="R5" s="388">
        <v>45.17</v>
      </c>
      <c r="S5" s="388">
        <v>35.07</v>
      </c>
      <c r="T5" s="388">
        <v>25.44</v>
      </c>
      <c r="U5" s="388">
        <v>25.95</v>
      </c>
      <c r="V5" s="388">
        <v>21.65</v>
      </c>
      <c r="W5" s="388">
        <v>25.56</v>
      </c>
      <c r="X5" s="46"/>
    </row>
    <row r="6" spans="2:24" x14ac:dyDescent="0.25">
      <c r="B6" s="46" t="s">
        <v>236</v>
      </c>
      <c r="C6" s="388" cm="1">
        <f t="array" ref="C6">_FV(B2,"Shares outstanding",TRUE)/1000000/2</f>
        <v>782.44849999999997</v>
      </c>
      <c r="D6" s="388">
        <v>1614</v>
      </c>
      <c r="E6" s="388">
        <v>1614</v>
      </c>
      <c r="F6" s="388">
        <v>1573</v>
      </c>
      <c r="G6" s="388">
        <v>1515</v>
      </c>
      <c r="H6" s="388">
        <v>1456</v>
      </c>
      <c r="I6" s="388">
        <v>1486</v>
      </c>
      <c r="J6" s="388">
        <v>1803</v>
      </c>
      <c r="K6" s="388">
        <v>1474</v>
      </c>
      <c r="L6" s="388">
        <v>1439</v>
      </c>
      <c r="M6" s="388">
        <v>1456</v>
      </c>
      <c r="N6" s="388">
        <v>1454</v>
      </c>
      <c r="O6" s="388">
        <v>1470</v>
      </c>
      <c r="P6" s="388">
        <v>1422</v>
      </c>
      <c r="Q6" s="388">
        <v>1386</v>
      </c>
      <c r="R6" s="388">
        <v>1423</v>
      </c>
      <c r="S6" s="388">
        <v>1444</v>
      </c>
      <c r="T6" s="388">
        <v>1402</v>
      </c>
      <c r="U6" s="388">
        <v>1440</v>
      </c>
      <c r="V6" s="388">
        <v>1382</v>
      </c>
      <c r="W6" s="388">
        <v>1371</v>
      </c>
      <c r="X6" s="389">
        <f>AVERAGE(E6:W6)</f>
        <v>1474.2105263157894</v>
      </c>
    </row>
    <row r="7" spans="2:24" x14ac:dyDescent="0.25">
      <c r="B7" s="151" t="s">
        <v>222</v>
      </c>
      <c r="C7" s="390">
        <f>C5*C6/1000</f>
        <v>46.766946845</v>
      </c>
      <c r="D7" s="390">
        <f>D5*D6/1000</f>
        <v>141.8706</v>
      </c>
      <c r="E7" s="390">
        <f t="shared" ref="E7:G7" si="0">E5*E6/1000</f>
        <v>131.57328000000001</v>
      </c>
      <c r="F7" s="390">
        <f t="shared" si="0"/>
        <v>100.34166999999999</v>
      </c>
      <c r="G7" s="390">
        <f t="shared" si="0"/>
        <v>65.296499999999995</v>
      </c>
      <c r="H7" s="390">
        <f t="shared" ref="H7:W7" si="1">H5*H6/1000</f>
        <v>51.294879999999999</v>
      </c>
      <c r="I7" s="390">
        <f t="shared" si="1"/>
        <v>46.288899999999998</v>
      </c>
      <c r="J7" s="390">
        <f t="shared" si="1"/>
        <v>53.927730000000004</v>
      </c>
      <c r="K7" s="390">
        <f t="shared" si="1"/>
        <v>44.617979999999996</v>
      </c>
      <c r="L7" s="390">
        <f t="shared" si="1"/>
        <v>30.118269999999999</v>
      </c>
      <c r="M7" s="390">
        <f t="shared" si="1"/>
        <v>34.24512</v>
      </c>
      <c r="N7" s="390">
        <f t="shared" si="1"/>
        <v>52.140440000000005</v>
      </c>
      <c r="O7" s="390">
        <f t="shared" si="1"/>
        <v>53.669699999999999</v>
      </c>
      <c r="P7" s="390">
        <f t="shared" si="1"/>
        <v>58.899240000000006</v>
      </c>
      <c r="Q7" s="390">
        <f t="shared" si="1"/>
        <v>52.002720000000004</v>
      </c>
      <c r="R7" s="390">
        <f t="shared" si="1"/>
        <v>64.276910000000001</v>
      </c>
      <c r="S7" s="390">
        <f t="shared" si="1"/>
        <v>50.641080000000002</v>
      </c>
      <c r="T7" s="390">
        <f t="shared" si="1"/>
        <v>35.666880000000006</v>
      </c>
      <c r="U7" s="390">
        <f t="shared" si="1"/>
        <v>37.368000000000002</v>
      </c>
      <c r="V7" s="390">
        <f t="shared" si="1"/>
        <v>29.920300000000001</v>
      </c>
      <c r="W7" s="390">
        <f t="shared" si="1"/>
        <v>35.042759999999994</v>
      </c>
      <c r="X7" s="151"/>
    </row>
    <row r="8" spans="2:24" x14ac:dyDescent="0.25">
      <c r="B8" s="96"/>
      <c r="C8" s="391"/>
      <c r="D8" s="391"/>
      <c r="E8" s="391"/>
      <c r="F8" s="391"/>
      <c r="G8" s="391"/>
      <c r="H8" s="391"/>
      <c r="I8" s="391"/>
      <c r="J8" s="391"/>
      <c r="K8" s="391"/>
      <c r="L8" s="391"/>
      <c r="M8" s="391"/>
      <c r="N8" s="391"/>
      <c r="O8" s="391"/>
      <c r="P8" s="391"/>
      <c r="Q8" s="391"/>
      <c r="R8" s="391"/>
      <c r="S8" s="391"/>
      <c r="T8" s="391"/>
      <c r="U8" s="391"/>
      <c r="V8" s="391"/>
      <c r="W8" s="391"/>
      <c r="X8" s="199"/>
    </row>
    <row r="9" spans="2:24" x14ac:dyDescent="0.25">
      <c r="B9" s="51" t="s">
        <v>249</v>
      </c>
      <c r="C9" s="392"/>
      <c r="D9" s="392">
        <v>34.4</v>
      </c>
      <c r="E9" s="392">
        <v>25.16</v>
      </c>
      <c r="F9" s="392">
        <v>28.35</v>
      </c>
      <c r="G9" s="392">
        <v>20.94</v>
      </c>
      <c r="H9" s="392">
        <v>24.23</v>
      </c>
      <c r="I9" s="392">
        <v>19.22</v>
      </c>
      <c r="J9" s="392">
        <v>22.03</v>
      </c>
      <c r="K9" s="392">
        <v>17.940000000000001</v>
      </c>
      <c r="L9" s="392">
        <v>19.5</v>
      </c>
      <c r="M9" s="392">
        <v>15.39</v>
      </c>
      <c r="N9" s="392">
        <v>19.2</v>
      </c>
      <c r="O9" s="392">
        <v>15.74</v>
      </c>
      <c r="P9" s="392">
        <v>16.66</v>
      </c>
      <c r="Q9" s="392">
        <v>12.56</v>
      </c>
      <c r="R9" s="392">
        <v>13.59</v>
      </c>
      <c r="S9" s="392">
        <v>10.91</v>
      </c>
      <c r="T9" s="392">
        <v>11.52</v>
      </c>
      <c r="U9" s="392">
        <v>9.02</v>
      </c>
      <c r="V9" s="392">
        <v>9.93</v>
      </c>
      <c r="W9" s="392">
        <v>8.25</v>
      </c>
      <c r="X9" s="51"/>
    </row>
    <row r="10" spans="2:24" x14ac:dyDescent="0.25">
      <c r="B10" s="51"/>
      <c r="C10" s="392"/>
      <c r="D10" s="393">
        <f>(D9-E9)/E9</f>
        <v>0.36724960254372013</v>
      </c>
      <c r="E10" s="393">
        <f t="shared" ref="E10:V10" si="2">(E9-F9)/F9</f>
        <v>-0.11252204585537923</v>
      </c>
      <c r="F10" s="393">
        <f t="shared" si="2"/>
        <v>0.35386819484240684</v>
      </c>
      <c r="G10" s="393">
        <f t="shared" si="2"/>
        <v>-0.13578208832026409</v>
      </c>
      <c r="H10" s="393">
        <f t="shared" si="2"/>
        <v>0.26066597294484922</v>
      </c>
      <c r="I10" s="393">
        <f t="shared" si="2"/>
        <v>-0.12755333635950986</v>
      </c>
      <c r="J10" s="393">
        <f t="shared" si="2"/>
        <v>0.22798216276477143</v>
      </c>
      <c r="K10" s="393">
        <f t="shared" si="2"/>
        <v>-7.9999999999999932E-2</v>
      </c>
      <c r="L10" s="393">
        <f t="shared" si="2"/>
        <v>0.26705653021442488</v>
      </c>
      <c r="M10" s="393">
        <f t="shared" si="2"/>
        <v>-0.19843749999999993</v>
      </c>
      <c r="N10" s="393">
        <f t="shared" si="2"/>
        <v>0.21982210927573057</v>
      </c>
      <c r="O10" s="393">
        <f t="shared" si="2"/>
        <v>-5.5222088835534207E-2</v>
      </c>
      <c r="P10" s="393">
        <f t="shared" si="2"/>
        <v>0.32643312101910826</v>
      </c>
      <c r="Q10" s="393">
        <f t="shared" si="2"/>
        <v>-7.5791022810890313E-2</v>
      </c>
      <c r="R10" s="393">
        <f t="shared" si="2"/>
        <v>0.24564619615032077</v>
      </c>
      <c r="S10" s="393">
        <f t="shared" si="2"/>
        <v>-5.295138888888884E-2</v>
      </c>
      <c r="T10" s="393">
        <f t="shared" si="2"/>
        <v>0.27716186252771619</v>
      </c>
      <c r="U10" s="393">
        <f t="shared" si="2"/>
        <v>-9.1641490433031242E-2</v>
      </c>
      <c r="V10" s="393">
        <f t="shared" si="2"/>
        <v>0.20363636363636362</v>
      </c>
      <c r="W10" s="392"/>
      <c r="X10" s="63">
        <f>AVERAGE(D10:V10)</f>
        <v>9.5769534442942852E-2</v>
      </c>
    </row>
    <row r="11" spans="2:24" x14ac:dyDescent="0.25">
      <c r="B11" s="46" t="s">
        <v>234</v>
      </c>
      <c r="C11" s="388"/>
      <c r="D11" s="388">
        <v>0</v>
      </c>
      <c r="E11" s="388">
        <v>14.56</v>
      </c>
      <c r="F11" s="388">
        <v>13.43</v>
      </c>
      <c r="G11" s="388">
        <v>12.6</v>
      </c>
      <c r="H11" s="388">
        <v>12.13</v>
      </c>
      <c r="I11" s="388">
        <v>11.24</v>
      </c>
      <c r="J11" s="388">
        <v>10.77</v>
      </c>
      <c r="K11" s="388">
        <v>10.050000000000001</v>
      </c>
      <c r="L11" s="388">
        <v>9.59</v>
      </c>
      <c r="M11" s="388">
        <v>9.31</v>
      </c>
      <c r="N11" s="388">
        <v>8.92</v>
      </c>
      <c r="O11" s="388">
        <v>8.2899999999999991</v>
      </c>
      <c r="P11" s="388">
        <v>7.81</v>
      </c>
      <c r="Q11" s="388">
        <v>7.15</v>
      </c>
      <c r="R11" s="388">
        <v>6.65</v>
      </c>
      <c r="S11" s="388">
        <v>6.25</v>
      </c>
      <c r="T11" s="388">
        <v>5.68</v>
      </c>
      <c r="U11" s="388">
        <v>5.24</v>
      </c>
      <c r="V11" s="388">
        <v>4.75</v>
      </c>
      <c r="W11" s="388">
        <v>4.24</v>
      </c>
      <c r="X11" s="46"/>
    </row>
    <row r="12" spans="2:24" x14ac:dyDescent="0.25">
      <c r="B12" s="46" t="s">
        <v>235</v>
      </c>
      <c r="C12" s="388"/>
      <c r="D12" s="388">
        <v>0</v>
      </c>
      <c r="E12" s="388">
        <v>18.66</v>
      </c>
      <c r="F12" s="388">
        <v>17.84</v>
      </c>
      <c r="G12" s="388">
        <v>10.61</v>
      </c>
      <c r="H12" s="388">
        <v>9.27</v>
      </c>
      <c r="I12" s="388">
        <v>8.2899999999999991</v>
      </c>
      <c r="J12" s="388">
        <v>8.76</v>
      </c>
      <c r="K12" s="388">
        <v>6.09</v>
      </c>
      <c r="L12" s="388">
        <v>5.75</v>
      </c>
      <c r="M12" s="388">
        <v>6.24</v>
      </c>
      <c r="N12" s="388">
        <v>7.98</v>
      </c>
      <c r="O12" s="388">
        <v>7.95</v>
      </c>
      <c r="P12" s="388">
        <v>5.9</v>
      </c>
      <c r="Q12" s="388">
        <v>6.28</v>
      </c>
      <c r="R12" s="388">
        <v>6.79</v>
      </c>
      <c r="S12" s="388">
        <v>7.42</v>
      </c>
      <c r="T12" s="388">
        <v>6.17</v>
      </c>
      <c r="U12" s="388">
        <v>6.15</v>
      </c>
      <c r="V12" s="388">
        <v>6.53</v>
      </c>
      <c r="W12" s="388">
        <v>5.36</v>
      </c>
      <c r="X12" s="46"/>
    </row>
    <row r="13" spans="2:24" x14ac:dyDescent="0.25">
      <c r="B13" s="46" t="s">
        <v>239</v>
      </c>
      <c r="C13" s="388"/>
      <c r="D13" s="63">
        <v>0</v>
      </c>
      <c r="E13" s="63">
        <v>0.14729999999999999</v>
      </c>
      <c r="F13" s="63">
        <v>0.1459</v>
      </c>
      <c r="G13" s="63">
        <v>0.1474</v>
      </c>
      <c r="H13" s="63">
        <v>0.14630000000000001</v>
      </c>
      <c r="I13" s="63">
        <v>0.14729999999999999</v>
      </c>
      <c r="J13" s="63">
        <v>0.1482</v>
      </c>
      <c r="K13" s="63">
        <v>0.14499999999999999</v>
      </c>
      <c r="L13" s="63">
        <v>0.14280000000000001</v>
      </c>
      <c r="M13" s="63">
        <v>0.13700000000000001</v>
      </c>
      <c r="N13" s="63">
        <v>0.1366</v>
      </c>
      <c r="O13" s="63">
        <v>0.1368</v>
      </c>
      <c r="P13" s="63">
        <v>0.14019999999999999</v>
      </c>
      <c r="Q13" s="63">
        <v>0.15029999999999999</v>
      </c>
      <c r="R13" s="63">
        <v>0.15079999999999999</v>
      </c>
      <c r="S13" s="63">
        <v>0.15570000000000001</v>
      </c>
      <c r="T13" s="63">
        <v>0.15160000000000001</v>
      </c>
      <c r="U13" s="63">
        <v>0.14949999999999999</v>
      </c>
      <c r="V13" s="63">
        <v>0.14449999999999999</v>
      </c>
      <c r="W13" s="63">
        <v>0.1389</v>
      </c>
      <c r="X13" s="63">
        <f t="shared" ref="X13:X15" si="3">AVERAGE(D13:W13)</f>
        <v>0.13810500000000001</v>
      </c>
    </row>
    <row r="14" spans="2:24" x14ac:dyDescent="0.25">
      <c r="B14" s="46" t="s">
        <v>247</v>
      </c>
      <c r="C14" s="388"/>
      <c r="D14" s="63">
        <v>0</v>
      </c>
      <c r="E14" s="63">
        <v>1.7899999999999999E-2</v>
      </c>
      <c r="F14" s="63">
        <v>1.9800000000000002E-2</v>
      </c>
      <c r="G14" s="63">
        <v>1.6799999999999999E-2</v>
      </c>
      <c r="H14" s="63">
        <v>1.5599999999999999E-2</v>
      </c>
      <c r="I14" s="63">
        <v>1.41E-2</v>
      </c>
      <c r="J14" s="63">
        <v>4.0000000000000001E-3</v>
      </c>
      <c r="K14" s="63">
        <v>-2.8999999999999998E-3</v>
      </c>
      <c r="L14" s="63">
        <v>-5.7000000000000002E-3</v>
      </c>
      <c r="M14" s="63">
        <v>-7.6E-3</v>
      </c>
      <c r="N14" s="63">
        <v>-5.3E-3</v>
      </c>
      <c r="O14" s="63">
        <v>-4.1000000000000003E-3</v>
      </c>
      <c r="P14" s="63">
        <v>-2.3E-3</v>
      </c>
      <c r="Q14" s="63">
        <v>1.6999999999999999E-3</v>
      </c>
      <c r="R14" s="63">
        <v>-1.2999999999999999E-3</v>
      </c>
      <c r="S14" s="63">
        <v>-1.2999999999999999E-3</v>
      </c>
      <c r="T14" s="63">
        <v>-8.2000000000000007E-3</v>
      </c>
      <c r="U14" s="63">
        <v>-2.5499999999999998E-2</v>
      </c>
      <c r="V14" s="63">
        <v>-2.8400000000000002E-2</v>
      </c>
      <c r="W14" s="63">
        <v>-3.27E-2</v>
      </c>
      <c r="X14" s="63">
        <f t="shared" si="3"/>
        <v>-1.7700000000000001E-3</v>
      </c>
    </row>
    <row r="15" spans="2:24" x14ac:dyDescent="0.25">
      <c r="B15" s="46" t="s">
        <v>248</v>
      </c>
      <c r="C15" s="388"/>
      <c r="D15" s="63">
        <v>0</v>
      </c>
      <c r="E15" s="63">
        <v>4.1200000000000001E-2</v>
      </c>
      <c r="F15" s="63">
        <v>3.3099999999999997E-2</v>
      </c>
      <c r="G15" s="63">
        <v>0.95</v>
      </c>
      <c r="H15" s="63">
        <v>2.1100000000000001E-2</v>
      </c>
      <c r="I15" s="63">
        <v>7.3000000000000001E-3</v>
      </c>
      <c r="J15" s="63">
        <v>1.2500000000000001E-2</v>
      </c>
      <c r="K15" s="63">
        <v>7.0000000000000001E-3</v>
      </c>
      <c r="L15" s="63">
        <v>-5.4000000000000003E-3</v>
      </c>
      <c r="M15" s="63">
        <v>3.0999999999999999E-3</v>
      </c>
      <c r="N15" s="63">
        <v>-1.1999999999999999E-3</v>
      </c>
      <c r="O15" s="63">
        <v>3.0999999999999999E-3</v>
      </c>
      <c r="P15" s="63">
        <v>-4.0000000000000002E-4</v>
      </c>
      <c r="Q15" s="63">
        <v>-2.5000000000000001E-3</v>
      </c>
      <c r="R15" s="63">
        <v>-9.1999999999999998E-3</v>
      </c>
      <c r="S15" s="63">
        <v>-9.2999999999999992E-3</v>
      </c>
      <c r="T15" s="63">
        <v>-1.46E-2</v>
      </c>
      <c r="U15" s="63">
        <v>-4.3499999999999997E-2</v>
      </c>
      <c r="V15" s="63">
        <v>-4.4699999999999997E-2</v>
      </c>
      <c r="W15" s="63">
        <v>-4.9599999999999998E-2</v>
      </c>
      <c r="X15" s="63">
        <f t="shared" si="3"/>
        <v>4.4899999999999995E-2</v>
      </c>
    </row>
    <row r="16" spans="2:24" x14ac:dyDescent="0.25">
      <c r="B16" s="96"/>
      <c r="C16" s="391"/>
      <c r="D16" s="391"/>
      <c r="E16" s="391"/>
      <c r="F16" s="391"/>
      <c r="G16" s="391"/>
      <c r="H16" s="391"/>
      <c r="I16" s="391"/>
      <c r="J16" s="391"/>
      <c r="K16" s="391"/>
      <c r="L16" s="391"/>
      <c r="M16" s="391"/>
      <c r="N16" s="391"/>
      <c r="O16" s="391"/>
      <c r="P16" s="391"/>
      <c r="Q16" s="391"/>
      <c r="R16" s="391"/>
      <c r="S16" s="391"/>
      <c r="T16" s="391"/>
      <c r="U16" s="391"/>
      <c r="V16" s="391"/>
      <c r="W16" s="391"/>
      <c r="X16" s="199"/>
    </row>
    <row r="17" spans="2:24" x14ac:dyDescent="0.25">
      <c r="B17" s="46" t="s">
        <v>237</v>
      </c>
      <c r="C17" s="388"/>
      <c r="D17" s="280">
        <v>0</v>
      </c>
      <c r="E17" s="388">
        <v>1.2</v>
      </c>
      <c r="F17" s="388">
        <v>1.19</v>
      </c>
      <c r="G17" s="388">
        <v>1.06</v>
      </c>
      <c r="H17" s="388">
        <v>0.99</v>
      </c>
      <c r="I17" s="388">
        <v>0.98</v>
      </c>
      <c r="J17" s="388">
        <v>0.91</v>
      </c>
      <c r="K17" s="388">
        <v>0.83</v>
      </c>
      <c r="L17" s="388">
        <v>0.87</v>
      </c>
      <c r="M17" s="388">
        <v>0.9</v>
      </c>
      <c r="N17" s="388">
        <v>0.99</v>
      </c>
      <c r="O17" s="388">
        <v>1.06</v>
      </c>
      <c r="P17" s="388">
        <v>0.97</v>
      </c>
      <c r="Q17" s="388">
        <v>1.1200000000000001</v>
      </c>
      <c r="R17" s="388">
        <v>1.2</v>
      </c>
      <c r="S17" s="388">
        <v>1.06</v>
      </c>
      <c r="T17" s="388">
        <v>1.02</v>
      </c>
      <c r="U17" s="388">
        <v>1.05</v>
      </c>
      <c r="V17" s="388">
        <v>1.24</v>
      </c>
      <c r="W17" s="388">
        <v>1.29</v>
      </c>
      <c r="X17" s="46"/>
    </row>
    <row r="18" spans="2:24" x14ac:dyDescent="0.25">
      <c r="B18" s="46" t="s">
        <v>238</v>
      </c>
      <c r="C18" s="388"/>
      <c r="D18" s="388">
        <v>0</v>
      </c>
      <c r="E18" s="388">
        <v>1.37</v>
      </c>
      <c r="F18" s="388">
        <v>1.52</v>
      </c>
      <c r="G18" s="388">
        <v>2.04</v>
      </c>
      <c r="H18" s="388">
        <v>2.0699999999999998</v>
      </c>
      <c r="I18" s="388">
        <v>2.16</v>
      </c>
      <c r="J18" s="388">
        <v>2.41</v>
      </c>
      <c r="K18" s="388">
        <v>2.16</v>
      </c>
      <c r="L18" s="388">
        <v>2.44</v>
      </c>
      <c r="M18" s="388">
        <v>2.31</v>
      </c>
      <c r="N18" s="388">
        <v>2.71</v>
      </c>
      <c r="O18" s="388">
        <v>2.39</v>
      </c>
      <c r="P18" s="388">
        <v>2.5099999999999998</v>
      </c>
      <c r="Q18" s="388">
        <v>2.48</v>
      </c>
      <c r="R18" s="388">
        <v>2.57</v>
      </c>
      <c r="S18" s="388">
        <v>3.76</v>
      </c>
      <c r="T18" s="388">
        <v>3.69</v>
      </c>
      <c r="U18" s="388">
        <v>3.07</v>
      </c>
      <c r="V18" s="388">
        <v>2.46</v>
      </c>
      <c r="W18" s="388">
        <v>2.29</v>
      </c>
      <c r="X18" s="46"/>
    </row>
    <row r="19" spans="2:24" x14ac:dyDescent="0.25">
      <c r="B19" s="46" t="s">
        <v>240</v>
      </c>
      <c r="C19" s="388" cm="1">
        <f t="array" ref="C19">_FV(B2,"P/E",TRUE)</f>
        <v>24.939399999999999</v>
      </c>
      <c r="D19" s="388">
        <v>0</v>
      </c>
      <c r="E19" s="388">
        <v>29.85</v>
      </c>
      <c r="F19" s="388">
        <v>30.55</v>
      </c>
      <c r="G19" s="388">
        <v>75</v>
      </c>
      <c r="H19" s="388">
        <v>29.86</v>
      </c>
      <c r="I19" s="388">
        <v>80.599999999999994</v>
      </c>
      <c r="J19" s="388">
        <v>51.34</v>
      </c>
      <c r="K19" s="388">
        <v>97.26</v>
      </c>
      <c r="L19" s="388">
        <v>0</v>
      </c>
      <c r="M19" s="388">
        <v>183.73</v>
      </c>
      <c r="N19" s="388">
        <v>0</v>
      </c>
      <c r="O19" s="388">
        <v>311.45999999999998</v>
      </c>
      <c r="P19" s="388">
        <v>0</v>
      </c>
      <c r="Q19" s="388">
        <v>0</v>
      </c>
      <c r="R19" s="388">
        <v>0</v>
      </c>
      <c r="S19" s="388">
        <v>0</v>
      </c>
      <c r="T19" s="388">
        <v>0</v>
      </c>
      <c r="U19" s="388">
        <v>0</v>
      </c>
      <c r="V19" s="388">
        <v>0</v>
      </c>
      <c r="W19" s="388">
        <v>0</v>
      </c>
      <c r="X19" s="389">
        <f>AVERAGE(D19:W19)</f>
        <v>44.482499999999995</v>
      </c>
    </row>
    <row r="20" spans="2:24" x14ac:dyDescent="0.25">
      <c r="B20" s="46" t="s">
        <v>241</v>
      </c>
      <c r="C20" s="388"/>
      <c r="D20" s="388">
        <v>0</v>
      </c>
      <c r="E20" s="388">
        <v>1.21</v>
      </c>
      <c r="F20" s="388">
        <v>0.99</v>
      </c>
      <c r="G20" s="388">
        <v>0.74</v>
      </c>
      <c r="H20" s="388">
        <v>0.66</v>
      </c>
      <c r="I20" s="388">
        <v>0.56999999999999995</v>
      </c>
      <c r="J20" s="388">
        <v>0.64</v>
      </c>
      <c r="K20" s="388">
        <v>0.63</v>
      </c>
      <c r="L20" s="388">
        <v>0.45</v>
      </c>
      <c r="M20" s="388">
        <v>0.56000000000000005</v>
      </c>
      <c r="N20" s="388">
        <v>0.86</v>
      </c>
      <c r="O20" s="388">
        <v>0.95</v>
      </c>
      <c r="P20" s="388">
        <v>1.05</v>
      </c>
      <c r="Q20" s="388">
        <v>1.1299999999999999</v>
      </c>
      <c r="R20" s="388">
        <v>1.27</v>
      </c>
      <c r="S20" s="388">
        <v>1.1000000000000001</v>
      </c>
      <c r="T20" s="388">
        <v>0.95</v>
      </c>
      <c r="U20" s="388">
        <v>1.03</v>
      </c>
      <c r="V20" s="388">
        <v>0.89</v>
      </c>
      <c r="W20" s="388">
        <v>1.19</v>
      </c>
      <c r="X20" s="389">
        <f>AVERAGE(D20:W20)</f>
        <v>0.84350000000000003</v>
      </c>
    </row>
    <row r="21" spans="2:24" x14ac:dyDescent="0.25">
      <c r="B21" s="46" t="s">
        <v>242</v>
      </c>
      <c r="C21" s="388"/>
      <c r="D21" s="388">
        <v>0</v>
      </c>
      <c r="E21" s="388">
        <v>5.38</v>
      </c>
      <c r="F21" s="388">
        <v>4.78</v>
      </c>
      <c r="G21" s="388">
        <v>4.9800000000000004</v>
      </c>
      <c r="H21" s="388">
        <v>4.22</v>
      </c>
      <c r="I21" s="388">
        <v>3.85</v>
      </c>
      <c r="J21" s="388">
        <v>5.2</v>
      </c>
      <c r="K21" s="388">
        <v>4.4000000000000004</v>
      </c>
      <c r="L21" s="388">
        <v>3.4</v>
      </c>
      <c r="M21" s="388">
        <v>4.05</v>
      </c>
      <c r="N21" s="388">
        <v>6.36</v>
      </c>
      <c r="O21" s="388">
        <v>6.83</v>
      </c>
      <c r="P21" s="388">
        <v>7.32</v>
      </c>
      <c r="Q21" s="388">
        <v>6.8</v>
      </c>
      <c r="R21" s="388">
        <v>7.47</v>
      </c>
      <c r="S21" s="388">
        <v>8.6199999999999992</v>
      </c>
      <c r="T21" s="388">
        <v>7.25</v>
      </c>
      <c r="U21" s="388">
        <v>7.08</v>
      </c>
      <c r="V21" s="388">
        <v>4.9000000000000004</v>
      </c>
      <c r="W21" s="388">
        <v>7.92</v>
      </c>
      <c r="X21" s="389">
        <f>AVERAGE(D21:W21)</f>
        <v>5.5404999999999998</v>
      </c>
    </row>
    <row r="22" spans="2:24" x14ac:dyDescent="0.25">
      <c r="B22" s="46" t="s">
        <v>243</v>
      </c>
      <c r="C22" s="388"/>
      <c r="D22" s="388">
        <f>C5/C19</f>
        <v>2.3966093811398834</v>
      </c>
      <c r="E22" s="388">
        <v>2.6</v>
      </c>
      <c r="F22" s="388">
        <v>1.97</v>
      </c>
      <c r="G22" s="388">
        <v>0.54</v>
      </c>
      <c r="H22" s="388">
        <v>1.18</v>
      </c>
      <c r="I22" s="388">
        <v>0.35</v>
      </c>
      <c r="J22" s="388">
        <v>0.59</v>
      </c>
      <c r="K22" s="388">
        <v>0.31</v>
      </c>
      <c r="L22" s="388">
        <v>-0.26</v>
      </c>
      <c r="M22" s="388">
        <v>0.14000000000000001</v>
      </c>
      <c r="N22" s="388">
        <v>-0.05</v>
      </c>
      <c r="O22" s="388">
        <v>0.13</v>
      </c>
      <c r="P22" s="388">
        <v>-0.02</v>
      </c>
      <c r="Q22" s="388">
        <v>-0.09</v>
      </c>
      <c r="R22" s="388">
        <v>-0.3</v>
      </c>
      <c r="S22" s="388">
        <v>-0.27</v>
      </c>
      <c r="T22" s="388">
        <v>-0.39</v>
      </c>
      <c r="U22" s="388">
        <v>-1.1100000000000001</v>
      </c>
      <c r="V22" s="388">
        <v>-1.07</v>
      </c>
      <c r="W22" s="388">
        <v>-1.1100000000000001</v>
      </c>
      <c r="X22" s="46"/>
    </row>
    <row r="23" spans="2:24" x14ac:dyDescent="0.25">
      <c r="B23" s="46" t="s">
        <v>245</v>
      </c>
      <c r="C23" s="46"/>
      <c r="D23" s="63">
        <v>0</v>
      </c>
      <c r="E23" s="63">
        <v>0.24129999999999999</v>
      </c>
      <c r="F23" s="63">
        <v>0.221</v>
      </c>
      <c r="G23" s="63">
        <v>7.0699999999999999E-2</v>
      </c>
      <c r="H23" s="63">
        <v>0.1605</v>
      </c>
      <c r="I23" s="63">
        <v>5.5399999999999998E-2</v>
      </c>
      <c r="J23" s="63">
        <v>9.3700000000000006E-2</v>
      </c>
      <c r="K23" s="63">
        <v>5.21E-2</v>
      </c>
      <c r="L23" s="63">
        <v>-4.0399999999999998E-2</v>
      </c>
      <c r="M23" s="63">
        <v>2.3800000000000002E-2</v>
      </c>
      <c r="N23" s="63">
        <v>-9.1000000000000004E-3</v>
      </c>
      <c r="O23" s="63">
        <v>2.3099999999999999E-2</v>
      </c>
      <c r="P23" s="63">
        <v>-3.3E-3</v>
      </c>
      <c r="Q23" s="63">
        <v>-1.84E-2</v>
      </c>
      <c r="R23" s="63">
        <v>-7.1199999999999999E-2</v>
      </c>
      <c r="S23" s="63">
        <v>-6.9599999999999995E-2</v>
      </c>
      <c r="T23" s="63">
        <v>-0.1052</v>
      </c>
      <c r="U23" s="63">
        <v>-0.29470000000000002</v>
      </c>
      <c r="V23" s="63">
        <v>-0.27779999999999999</v>
      </c>
      <c r="W23" s="63">
        <v>-0.28699999999999998</v>
      </c>
      <c r="X23" s="63">
        <f>AVERAGE(D23:W23)</f>
        <v>-1.1754999999999991E-2</v>
      </c>
    </row>
    <row r="25" spans="2:24" x14ac:dyDescent="0.25">
      <c r="B25" s="46" t="e" vm="135">
        <v>#VALUE!</v>
      </c>
      <c r="C25" s="200" cm="1">
        <f t="array" ref="C25">_FV(B25,"Price")</f>
        <v>14354.902</v>
      </c>
      <c r="D25" s="200">
        <v>12888</v>
      </c>
      <c r="E25" s="200">
        <v>11052</v>
      </c>
      <c r="F25" s="200">
        <v>10905</v>
      </c>
      <c r="G25" s="200">
        <v>9000</v>
      </c>
      <c r="H25" s="200">
        <v>8991</v>
      </c>
      <c r="I25" s="200">
        <v>8151</v>
      </c>
      <c r="J25" s="200">
        <v>8174</v>
      </c>
      <c r="K25" s="200">
        <v>7953</v>
      </c>
      <c r="L25" s="200">
        <v>6907</v>
      </c>
      <c r="M25" s="200">
        <v>8336</v>
      </c>
      <c r="N25" s="200">
        <v>7795</v>
      </c>
      <c r="O25" s="200">
        <v>7402</v>
      </c>
      <c r="P25" s="200">
        <v>7324</v>
      </c>
      <c r="Q25" s="200">
        <v>6885</v>
      </c>
      <c r="R25" s="200">
        <v>6557</v>
      </c>
      <c r="S25" s="200">
        <v>6343</v>
      </c>
      <c r="T25" s="200">
        <v>5829</v>
      </c>
      <c r="U25" s="200">
        <v>5752</v>
      </c>
      <c r="V25" s="200">
        <v>5254</v>
      </c>
      <c r="W25" s="200">
        <v>5347</v>
      </c>
      <c r="X25" s="46"/>
    </row>
    <row r="26" spans="2:24" x14ac:dyDescent="0.25">
      <c r="C26" s="39">
        <v>25.1</v>
      </c>
      <c r="D26" s="39">
        <v>23.8</v>
      </c>
      <c r="W26" s="39">
        <v>20.02</v>
      </c>
    </row>
    <row r="28" spans="2:24" x14ac:dyDescent="0.25">
      <c r="D28" s="290"/>
    </row>
    <row r="29" spans="2:24" x14ac:dyDescent="0.25">
      <c r="M29" s="582" t="s">
        <v>268</v>
      </c>
      <c r="N29" s="582"/>
      <c r="O29" s="582"/>
    </row>
    <row r="30" spans="2:24" x14ac:dyDescent="0.25">
      <c r="B30" s="46"/>
      <c r="C30" s="440" t="s">
        <v>244</v>
      </c>
      <c r="D30" s="440" t="s">
        <v>252</v>
      </c>
      <c r="E30" s="440" t="s">
        <v>253</v>
      </c>
      <c r="F30" s="440" t="s">
        <v>250</v>
      </c>
      <c r="G30" s="440" t="s">
        <v>289</v>
      </c>
      <c r="H30" s="440" t="s">
        <v>287</v>
      </c>
      <c r="I30" s="440" t="s">
        <v>288</v>
      </c>
    </row>
    <row r="31" spans="2:24" x14ac:dyDescent="0.25">
      <c r="B31" s="46" t="s">
        <v>251</v>
      </c>
      <c r="C31" s="394">
        <f>'JD Analysis'!C19</f>
        <v>24.939399999999999</v>
      </c>
      <c r="D31" s="395" t="e">
        <f>D32/'JD Analysis'!D22</f>
        <v>#REF!</v>
      </c>
      <c r="E31" s="321" t="e">
        <f>E32/'JD Analysis'!D22</f>
        <v>#REF!</v>
      </c>
      <c r="F31" s="394">
        <f>AVERAGE('JD Analysis'!D19:O19)</f>
        <v>74.137499999999989</v>
      </c>
      <c r="G31" s="394">
        <f>G32/'JD Analysis'!D22</f>
        <v>56.523749999999993</v>
      </c>
      <c r="H31" s="394">
        <v>38.909999999999997</v>
      </c>
      <c r="I31" s="394">
        <f>E19</f>
        <v>29.85</v>
      </c>
      <c r="M31" s="440" t="s">
        <v>17</v>
      </c>
      <c r="N31" s="440" t="s">
        <v>233</v>
      </c>
      <c r="O31" s="440" t="s">
        <v>266</v>
      </c>
      <c r="P31" s="440" t="s">
        <v>267</v>
      </c>
    </row>
    <row r="32" spans="2:24" x14ac:dyDescent="0.25">
      <c r="B32" s="46" t="s">
        <v>233</v>
      </c>
      <c r="C32" s="394">
        <f>'JD Analysis'!C5</f>
        <v>59.77</v>
      </c>
      <c r="D32" s="395" t="e">
        <f>'SG Portfolio'!#REF!</f>
        <v>#REF!</v>
      </c>
      <c r="E32" s="321" t="e">
        <f>'SG Portfolio'!#REF!</f>
        <v>#REF!</v>
      </c>
      <c r="F32" s="394">
        <f>F31*'JD Analysis'!D22</f>
        <v>177.67862799425808</v>
      </c>
      <c r="G32" s="394">
        <f>AVERAGE(H32,F32)</f>
        <v>135.46534950720547</v>
      </c>
      <c r="H32" s="394">
        <f>H31*'JD Analysis'!$D$22</f>
        <v>93.252071020152854</v>
      </c>
      <c r="I32" s="394">
        <f>I31*'JD Analysis'!$D$22</f>
        <v>71.538790027025527</v>
      </c>
      <c r="M32" s="406">
        <v>42946</v>
      </c>
      <c r="N32" s="394">
        <v>46.4</v>
      </c>
      <c r="O32" s="46"/>
      <c r="P32" s="46"/>
    </row>
    <row r="33" spans="2:16" x14ac:dyDescent="0.25">
      <c r="C33" s="73" t="e">
        <f>(C32-D32)/D32</f>
        <v>#REF!</v>
      </c>
      <c r="D33" s="73" t="e">
        <f>(D32-C32)/C32</f>
        <v>#REF!</v>
      </c>
      <c r="E33" s="73" t="e">
        <f>(E32-D32)/D32</f>
        <v>#REF!</v>
      </c>
      <c r="F33" s="73" t="e">
        <f>(F32-$D$32)/$D$32</f>
        <v>#REF!</v>
      </c>
      <c r="G33" s="73" t="e">
        <f>(G32-$D$32)/$D$32</f>
        <v>#REF!</v>
      </c>
      <c r="H33" s="73" t="e">
        <f>(H32-$D$32)/$D$32</f>
        <v>#REF!</v>
      </c>
      <c r="I33" s="73" t="e">
        <f>(I32-$D$32)/$D$32</f>
        <v>#REF!</v>
      </c>
      <c r="M33" s="406">
        <v>43065</v>
      </c>
      <c r="N33" s="394">
        <v>37.270000000000003</v>
      </c>
      <c r="O33" s="303">
        <f>(N33-N32)/N32</f>
        <v>-0.19676724137931026</v>
      </c>
      <c r="P33" s="309">
        <f t="shared" ref="P33:P38" si="4">M33-M32</f>
        <v>119</v>
      </c>
    </row>
    <row r="34" spans="2:16" x14ac:dyDescent="0.25">
      <c r="D34" s="343"/>
      <c r="E34" s="73" t="e">
        <f>(E32-C32)/C32</f>
        <v>#REF!</v>
      </c>
      <c r="M34" s="406">
        <v>43121</v>
      </c>
      <c r="N34" s="394">
        <v>50.5</v>
      </c>
      <c r="O34" s="46"/>
      <c r="P34" s="46">
        <f t="shared" si="4"/>
        <v>56</v>
      </c>
    </row>
    <row r="35" spans="2:16" x14ac:dyDescent="0.25">
      <c r="M35" s="406">
        <v>43422</v>
      </c>
      <c r="N35" s="394">
        <v>19.27</v>
      </c>
      <c r="O35" s="303">
        <f>(N35-N34)/N34</f>
        <v>-0.61841584158415841</v>
      </c>
      <c r="P35" s="309">
        <f t="shared" si="4"/>
        <v>301</v>
      </c>
    </row>
    <row r="36" spans="2:16" x14ac:dyDescent="0.25">
      <c r="B36" s="96" t="s">
        <v>262</v>
      </c>
      <c r="C36" s="420">
        <v>41.37</v>
      </c>
      <c r="D36" s="98"/>
      <c r="E36" s="98"/>
      <c r="F36" s="98"/>
      <c r="G36" s="98"/>
      <c r="H36" s="98"/>
      <c r="I36" s="199"/>
      <c r="M36" s="406">
        <v>44136</v>
      </c>
      <c r="N36" s="394">
        <v>92.49</v>
      </c>
      <c r="O36" s="303"/>
      <c r="P36" s="309">
        <f t="shared" si="4"/>
        <v>714</v>
      </c>
    </row>
    <row r="37" spans="2:16" x14ac:dyDescent="0.25">
      <c r="B37" s="46" t="s">
        <v>233</v>
      </c>
      <c r="C37" s="394">
        <f>C32</f>
        <v>59.77</v>
      </c>
      <c r="D37" s="389" t="e">
        <f>D32</f>
        <v>#REF!</v>
      </c>
      <c r="E37" s="389" t="e">
        <f>E32</f>
        <v>#REF!</v>
      </c>
      <c r="F37" s="389">
        <f t="shared" ref="F37:I37" si="5">F32</f>
        <v>177.67862799425808</v>
      </c>
      <c r="G37" s="389">
        <f t="shared" si="5"/>
        <v>135.46534950720547</v>
      </c>
      <c r="H37" s="389">
        <f t="shared" si="5"/>
        <v>93.252071020152854</v>
      </c>
      <c r="I37" s="389">
        <f t="shared" si="5"/>
        <v>71.538790027025527</v>
      </c>
      <c r="M37" s="406">
        <v>44178</v>
      </c>
      <c r="N37" s="394">
        <v>81.53</v>
      </c>
      <c r="O37" s="303">
        <f>(N37-N36)/N36</f>
        <v>-0.11849929722132116</v>
      </c>
      <c r="P37" s="309">
        <f t="shared" si="4"/>
        <v>42</v>
      </c>
    </row>
    <row r="38" spans="2:16" x14ac:dyDescent="0.25">
      <c r="B38" s="46" t="s">
        <v>256</v>
      </c>
      <c r="C38" s="394">
        <f>C37/$C$36</f>
        <v>1.444766739182983</v>
      </c>
      <c r="D38" s="394" t="e">
        <f t="shared" ref="D38:I38" si="6">D37/$C$36</f>
        <v>#REF!</v>
      </c>
      <c r="E38" s="394" t="e">
        <f>E37/$C$36</f>
        <v>#REF!</v>
      </c>
      <c r="F38" s="394">
        <f t="shared" si="6"/>
        <v>4.2948665214952406</v>
      </c>
      <c r="G38" s="394">
        <f t="shared" si="6"/>
        <v>3.274482705032765</v>
      </c>
      <c r="H38" s="394">
        <f t="shared" si="6"/>
        <v>2.2540988885702893</v>
      </c>
      <c r="I38" s="394">
        <f t="shared" si="6"/>
        <v>1.7292431720334913</v>
      </c>
      <c r="L38" s="101"/>
      <c r="M38" s="406">
        <v>44241</v>
      </c>
      <c r="N38" s="394">
        <v>106.09</v>
      </c>
      <c r="O38" s="46"/>
      <c r="P38" s="46">
        <f t="shared" si="4"/>
        <v>63</v>
      </c>
    </row>
    <row r="39" spans="2:16" x14ac:dyDescent="0.25">
      <c r="B39" s="96" t="s">
        <v>257</v>
      </c>
      <c r="C39" s="98"/>
      <c r="D39" s="98"/>
      <c r="E39" s="98"/>
      <c r="F39" s="315"/>
      <c r="G39" s="98"/>
      <c r="H39" s="98"/>
      <c r="I39" s="199"/>
      <c r="M39" s="406">
        <f ca="1">TODAY()</f>
        <v>44649</v>
      </c>
      <c r="N39" s="394">
        <f>C5</f>
        <v>59.77</v>
      </c>
      <c r="O39" s="303">
        <f>(N39-N38)/N38</f>
        <v>-0.43661042511075498</v>
      </c>
      <c r="P39" s="46">
        <f ca="1">M39-M38</f>
        <v>408</v>
      </c>
    </row>
    <row r="40" spans="2:16" x14ac:dyDescent="0.25">
      <c r="B40" s="416" t="s">
        <v>258</v>
      </c>
      <c r="C40" s="54">
        <v>1.02</v>
      </c>
      <c r="D40" s="417">
        <f>C40*$C$36</f>
        <v>42.197399999999995</v>
      </c>
      <c r="E40" s="54"/>
      <c r="F40" s="315" t="s">
        <v>64</v>
      </c>
      <c r="G40" s="425">
        <f>D40/$D$22</f>
        <v>17.607124603647311</v>
      </c>
      <c r="H40" s="54"/>
      <c r="I40" s="248"/>
      <c r="M40" s="304"/>
      <c r="N40" s="424">
        <f>N38*(1+O40)</f>
        <v>85.214963362068985</v>
      </c>
      <c r="O40" s="99">
        <f>MEDIAN(O33,O35,O37)</f>
        <v>-0.19676724137931026</v>
      </c>
      <c r="P40" s="46"/>
    </row>
    <row r="41" spans="2:16" x14ac:dyDescent="0.25">
      <c r="B41" s="416" t="s">
        <v>259</v>
      </c>
      <c r="C41" s="54">
        <v>1.39</v>
      </c>
      <c r="D41" s="417">
        <f t="shared" ref="D41:D43" si="7">C41*$C$36</f>
        <v>57.504299999999994</v>
      </c>
      <c r="E41" s="54"/>
      <c r="F41" s="54" t="s">
        <v>64</v>
      </c>
      <c r="G41" s="425">
        <f t="shared" ref="G41:G43" si="8">D41/$D$22</f>
        <v>23.99402274418604</v>
      </c>
      <c r="H41" s="54"/>
      <c r="I41" s="248"/>
      <c r="M41" s="101"/>
    </row>
    <row r="42" spans="2:16" x14ac:dyDescent="0.25">
      <c r="B42" s="416" t="s">
        <v>260</v>
      </c>
      <c r="C42" s="54">
        <v>2.4500000000000002</v>
      </c>
      <c r="D42" s="417">
        <f t="shared" si="7"/>
        <v>101.3565</v>
      </c>
      <c r="E42" s="54"/>
      <c r="F42" s="54" t="s">
        <v>64</v>
      </c>
      <c r="G42" s="425">
        <f t="shared" si="8"/>
        <v>42.29162282248619</v>
      </c>
      <c r="H42" s="54"/>
      <c r="I42" s="248"/>
    </row>
    <row r="43" spans="2:16" x14ac:dyDescent="0.25">
      <c r="B43" s="418" t="s">
        <v>261</v>
      </c>
      <c r="C43" s="192">
        <v>0.98</v>
      </c>
      <c r="D43" s="419">
        <f t="shared" si="7"/>
        <v>40.5426</v>
      </c>
      <c r="E43" s="192"/>
      <c r="F43" s="192" t="s">
        <v>64</v>
      </c>
      <c r="G43" s="426">
        <f t="shared" si="8"/>
        <v>16.916649128994475</v>
      </c>
      <c r="H43" s="192"/>
      <c r="I43" s="145"/>
    </row>
    <row r="46" spans="2:16" x14ac:dyDescent="0.25">
      <c r="B46" s="96" t="s">
        <v>264</v>
      </c>
      <c r="C46" s="420">
        <v>58.31</v>
      </c>
      <c r="D46" s="98"/>
      <c r="E46" s="98"/>
      <c r="F46" s="98"/>
      <c r="G46" s="98"/>
      <c r="H46" s="98"/>
      <c r="I46" s="199"/>
    </row>
    <row r="47" spans="2:16" x14ac:dyDescent="0.25">
      <c r="B47" s="46" t="s">
        <v>233</v>
      </c>
      <c r="C47" s="394">
        <f>C32</f>
        <v>59.77</v>
      </c>
      <c r="D47" s="389" t="e">
        <f>D32</f>
        <v>#REF!</v>
      </c>
      <c r="E47" s="389" t="e">
        <f>E32</f>
        <v>#REF!</v>
      </c>
      <c r="F47" s="389">
        <f t="shared" ref="F47:I47" si="9">F32</f>
        <v>177.67862799425808</v>
      </c>
      <c r="G47" s="389">
        <f t="shared" si="9"/>
        <v>135.46534950720547</v>
      </c>
      <c r="H47" s="389">
        <f t="shared" si="9"/>
        <v>93.252071020152854</v>
      </c>
      <c r="I47" s="389">
        <f t="shared" si="9"/>
        <v>71.538790027025527</v>
      </c>
    </row>
    <row r="48" spans="2:16" x14ac:dyDescent="0.25">
      <c r="B48" s="46" t="s">
        <v>263</v>
      </c>
      <c r="C48" s="50">
        <f>($C$46-C47)/$C$46</f>
        <v>-2.503858686331677E-2</v>
      </c>
      <c r="D48" s="50" t="e">
        <f t="shared" ref="D48:I48" si="10">($C$46-D47)/$C$46</f>
        <v>#REF!</v>
      </c>
      <c r="E48" s="50" t="e">
        <f>($C$46-E47)/$C$46</f>
        <v>#REF!</v>
      </c>
      <c r="F48" s="50">
        <f t="shared" si="10"/>
        <v>-2.0471381923213525</v>
      </c>
      <c r="G48" s="50">
        <f t="shared" si="10"/>
        <v>-1.3231924113737861</v>
      </c>
      <c r="H48" s="50">
        <f t="shared" si="10"/>
        <v>-0.5992466304262194</v>
      </c>
      <c r="I48" s="50">
        <f t="shared" si="10"/>
        <v>-0.22687000560839521</v>
      </c>
    </row>
    <row r="51" spans="2:9" x14ac:dyDescent="0.25">
      <c r="B51" s="96" t="s">
        <v>265</v>
      </c>
      <c r="C51" s="420">
        <v>67.760000000000005</v>
      </c>
      <c r="D51" s="98"/>
      <c r="E51" s="98"/>
      <c r="F51" s="98"/>
      <c r="G51" s="98"/>
      <c r="H51" s="98"/>
      <c r="I51" s="199"/>
    </row>
    <row r="52" spans="2:9" x14ac:dyDescent="0.25">
      <c r="B52" s="46" t="s">
        <v>233</v>
      </c>
      <c r="C52" s="394">
        <f>C32</f>
        <v>59.77</v>
      </c>
      <c r="D52" s="389" t="e">
        <f>D32</f>
        <v>#REF!</v>
      </c>
      <c r="E52" s="389" t="e">
        <f>E32</f>
        <v>#REF!</v>
      </c>
      <c r="F52" s="389">
        <f t="shared" ref="F52:I52" si="11">F32</f>
        <v>177.67862799425808</v>
      </c>
      <c r="G52" s="389">
        <f t="shared" si="11"/>
        <v>135.46534950720547</v>
      </c>
      <c r="H52" s="389">
        <f t="shared" si="11"/>
        <v>93.252071020152854</v>
      </c>
      <c r="I52" s="389">
        <f t="shared" si="11"/>
        <v>71.538790027025527</v>
      </c>
    </row>
    <row r="53" spans="2:9" x14ac:dyDescent="0.25">
      <c r="B53" s="46" t="s">
        <v>263</v>
      </c>
      <c r="C53" s="50">
        <f>($C$51-C52)/$C$51</f>
        <v>0.11791617473435657</v>
      </c>
      <c r="D53" s="50" t="e">
        <f t="shared" ref="D53:I53" si="12">($C$51-D52)/$C$51</f>
        <v>#REF!</v>
      </c>
      <c r="E53" s="50" t="e">
        <f>($C$51-E52)/$C$51</f>
        <v>#REF!</v>
      </c>
      <c r="F53" s="50">
        <f t="shared" si="12"/>
        <v>-1.6221757378137258</v>
      </c>
      <c r="G53" s="50">
        <f t="shared" si="12"/>
        <v>-0.99919346970492129</v>
      </c>
      <c r="H53" s="50">
        <f t="shared" si="12"/>
        <v>-0.37621120159611643</v>
      </c>
      <c r="I53" s="50">
        <f t="shared" si="12"/>
        <v>-5.5767267222926825E-2</v>
      </c>
    </row>
    <row r="54" spans="2:9" x14ac:dyDescent="0.25">
      <c r="B54" s="96" t="s">
        <v>257</v>
      </c>
      <c r="C54" s="98"/>
      <c r="D54" s="98"/>
      <c r="E54" s="98"/>
      <c r="F54" s="98"/>
      <c r="G54" s="98"/>
      <c r="H54" s="98"/>
      <c r="I54" s="199"/>
    </row>
    <row r="55" spans="2:9" x14ac:dyDescent="0.25">
      <c r="B55" s="416" t="s">
        <v>244</v>
      </c>
      <c r="C55" s="397">
        <f>C52/$C$51</f>
        <v>0.88208382526564344</v>
      </c>
      <c r="D55" s="54"/>
      <c r="E55" s="54"/>
      <c r="F55" s="54"/>
      <c r="G55" s="54"/>
      <c r="H55" s="54"/>
      <c r="I55" s="248"/>
    </row>
    <row r="56" spans="2:9" x14ac:dyDescent="0.25">
      <c r="B56" s="416" t="s">
        <v>258</v>
      </c>
      <c r="C56" s="397">
        <v>0</v>
      </c>
      <c r="D56" s="417">
        <f>C56*$C$51</f>
        <v>0</v>
      </c>
      <c r="E56" s="54"/>
      <c r="F56" s="54"/>
      <c r="G56" s="54"/>
      <c r="H56" s="54"/>
      <c r="I56" s="248"/>
    </row>
    <row r="57" spans="2:9" x14ac:dyDescent="0.25">
      <c r="B57" s="416" t="s">
        <v>259</v>
      </c>
      <c r="C57" s="397">
        <v>0</v>
      </c>
      <c r="D57" s="417">
        <f t="shared" ref="D57:D59" si="13">C57*$C$51</f>
        <v>0</v>
      </c>
      <c r="E57" s="54"/>
      <c r="F57" s="54"/>
      <c r="G57" s="54"/>
      <c r="H57" s="54"/>
      <c r="I57" s="248"/>
    </row>
    <row r="58" spans="2:9" x14ac:dyDescent="0.25">
      <c r="B58" s="416" t="s">
        <v>260</v>
      </c>
      <c r="C58" s="397">
        <v>0</v>
      </c>
      <c r="D58" s="417">
        <f t="shared" si="13"/>
        <v>0</v>
      </c>
      <c r="E58" s="54"/>
      <c r="F58" s="54"/>
      <c r="G58" s="54"/>
      <c r="H58" s="54"/>
      <c r="I58" s="248"/>
    </row>
    <row r="59" spans="2:9" x14ac:dyDescent="0.25">
      <c r="B59" s="418" t="s">
        <v>261</v>
      </c>
      <c r="C59" s="421">
        <v>0</v>
      </c>
      <c r="D59" s="419">
        <f t="shared" si="13"/>
        <v>0</v>
      </c>
      <c r="E59" s="192"/>
      <c r="F59" s="192"/>
      <c r="G59" s="192"/>
      <c r="H59" s="192"/>
      <c r="I59" s="145"/>
    </row>
  </sheetData>
  <mergeCells count="7">
    <mergeCell ref="P3:S3"/>
    <mergeCell ref="T3:W3"/>
    <mergeCell ref="M29:O29"/>
    <mergeCell ref="B3:B4"/>
    <mergeCell ref="D3:G3"/>
    <mergeCell ref="H3:K3"/>
    <mergeCell ref="L3:O3"/>
  </mergeCells>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915E0-DF70-4F17-B925-FCB5ECCD59E3}">
  <sheetPr>
    <tabColor rgb="FF00B0F0"/>
  </sheetPr>
  <dimension ref="B3:Z35"/>
  <sheetViews>
    <sheetView showGridLines="0" topLeftCell="B1" workbookViewId="0">
      <selection activeCell="Q44" sqref="Q44"/>
    </sheetView>
  </sheetViews>
  <sheetFormatPr defaultColWidth="9.140625" defaultRowHeight="15" x14ac:dyDescent="0.25"/>
  <cols>
    <col min="1" max="2" width="9.140625" style="39"/>
    <col min="3" max="3" width="27.5703125" style="39" bestFit="1" customWidth="1"/>
    <col min="4" max="4" width="10.5703125" style="39" bestFit="1" customWidth="1"/>
    <col min="5" max="5" width="8" style="39" bestFit="1" customWidth="1"/>
    <col min="6" max="6" width="9.140625" style="39"/>
    <col min="7" max="7" width="11.5703125" style="39" bestFit="1" customWidth="1"/>
    <col min="8" max="8" width="10.5703125" style="39" bestFit="1" customWidth="1"/>
    <col min="9" max="9" width="13.42578125" style="39" bestFit="1" customWidth="1"/>
    <col min="10" max="10" width="11.5703125" style="39" bestFit="1" customWidth="1"/>
    <col min="11" max="11" width="12.5703125" style="39" bestFit="1" customWidth="1"/>
    <col min="12" max="12" width="10.42578125" style="39" bestFit="1" customWidth="1"/>
    <col min="13" max="13" width="8.42578125" style="39" bestFit="1" customWidth="1"/>
    <col min="14" max="14" width="8.85546875" style="39" bestFit="1" customWidth="1"/>
    <col min="15" max="15" width="13.7109375" style="39" bestFit="1" customWidth="1"/>
    <col min="16" max="16" width="9.85546875" style="39" bestFit="1" customWidth="1"/>
    <col min="17" max="17" width="10.28515625" style="39" bestFit="1" customWidth="1"/>
    <col min="18" max="18" width="10.7109375" style="39" bestFit="1" customWidth="1"/>
    <col min="19" max="19" width="8.42578125" style="39" bestFit="1" customWidth="1"/>
    <col min="20" max="20" width="7.85546875" style="39" bestFit="1" customWidth="1"/>
    <col min="21" max="21" width="16.140625" style="39" bestFit="1" customWidth="1"/>
    <col min="22" max="22" width="11" style="39" bestFit="1" customWidth="1"/>
    <col min="23" max="23" width="12.28515625" style="39" bestFit="1" customWidth="1"/>
    <col min="24" max="25" width="12.28515625" style="39" customWidth="1"/>
    <col min="26" max="16384" width="9.140625" style="39"/>
  </cols>
  <sheetData>
    <row r="3" spans="2:26" x14ac:dyDescent="0.25">
      <c r="F3" s="359" t="s">
        <v>2</v>
      </c>
      <c r="G3" s="359" t="s">
        <v>3</v>
      </c>
      <c r="H3" s="359" t="s">
        <v>4</v>
      </c>
      <c r="I3" s="359" t="s">
        <v>6</v>
      </c>
      <c r="J3" s="359" t="s">
        <v>15</v>
      </c>
      <c r="K3" s="359" t="s">
        <v>8</v>
      </c>
      <c r="L3" s="359" t="s">
        <v>9</v>
      </c>
      <c r="M3" s="359" t="s">
        <v>77</v>
      </c>
      <c r="N3" s="359" t="s">
        <v>220</v>
      </c>
      <c r="O3" s="359" t="s">
        <v>221</v>
      </c>
      <c r="P3" s="359" t="s">
        <v>9</v>
      </c>
      <c r="Q3" s="359" t="s">
        <v>77</v>
      </c>
      <c r="R3" s="359" t="s">
        <v>215</v>
      </c>
      <c r="S3" s="359" t="s">
        <v>216</v>
      </c>
      <c r="T3" s="359" t="s">
        <v>217</v>
      </c>
      <c r="U3" s="359" t="s">
        <v>142</v>
      </c>
      <c r="V3" s="359" t="s">
        <v>209</v>
      </c>
      <c r="W3" s="359" t="s">
        <v>210</v>
      </c>
    </row>
    <row r="4" spans="2:26" x14ac:dyDescent="0.25">
      <c r="C4" s="43" t="e" vm="7">
        <v>#VALUE!</v>
      </c>
      <c r="D4" s="87" t="s">
        <v>10</v>
      </c>
      <c r="E4" s="87" t="s">
        <v>13</v>
      </c>
      <c r="F4" s="82">
        <v>290</v>
      </c>
      <c r="G4" s="82">
        <v>0</v>
      </c>
      <c r="H4" s="449">
        <v>0</v>
      </c>
      <c r="I4" s="82" t="e">
        <f t="shared" ref="I4:I8" si="0">((F4*G4)+H4)/G4</f>
        <v>#DIV/0!</v>
      </c>
      <c r="J4" s="82" t="e">
        <f t="shared" ref="J4:J8" si="1">I4*G4</f>
        <v>#DIV/0!</v>
      </c>
      <c r="K4" s="82" cm="1">
        <f t="array" ref="K4">_FV(C4,"Price")</f>
        <v>223.59</v>
      </c>
      <c r="L4" s="79" t="e">
        <f>(K4-I4)*G4</f>
        <v>#DIV/0!</v>
      </c>
      <c r="M4" s="88" t="e">
        <f t="shared" ref="M4:M8" si="2">L4/J4</f>
        <v>#DIV/0!</v>
      </c>
      <c r="N4" s="431">
        <v>282</v>
      </c>
      <c r="O4" s="395">
        <f t="shared" ref="O4:O8" si="3">N4*G4</f>
        <v>0</v>
      </c>
      <c r="P4" s="79" t="e">
        <f t="shared" ref="P4:P8" si="4">(N4-I4)*G4</f>
        <v>#DIV/0!</v>
      </c>
      <c r="Q4" s="88" t="e">
        <f t="shared" ref="Q4:Q8" si="5">P4/J4</f>
        <v>#DIV/0!</v>
      </c>
      <c r="R4" s="450" t="s">
        <v>218</v>
      </c>
      <c r="S4" s="95"/>
      <c r="T4" s="95"/>
      <c r="U4" s="95"/>
      <c r="V4" s="95"/>
      <c r="W4" s="95"/>
      <c r="X4" s="95"/>
      <c r="Y4" s="95"/>
      <c r="Z4" s="43"/>
    </row>
    <row r="5" spans="2:26" s="43" customFormat="1" x14ac:dyDescent="0.25">
      <c r="C5" s="439">
        <f>F5/K4</f>
        <v>1.2075674225144237</v>
      </c>
      <c r="D5" s="409" t="s">
        <v>10</v>
      </c>
      <c r="E5" s="409" t="s">
        <v>13</v>
      </c>
      <c r="F5" s="410">
        <v>270</v>
      </c>
      <c r="G5" s="410">
        <v>0</v>
      </c>
      <c r="H5" s="82">
        <v>0</v>
      </c>
      <c r="I5" s="410" t="e">
        <f t="shared" si="0"/>
        <v>#DIV/0!</v>
      </c>
      <c r="J5" s="410" t="e">
        <f t="shared" si="1"/>
        <v>#DIV/0!</v>
      </c>
      <c r="K5" s="82">
        <f>K4</f>
        <v>223.59</v>
      </c>
      <c r="L5" s="411" t="e">
        <f t="shared" ref="L5:L8" si="6">(K5-I5)*G5</f>
        <v>#DIV/0!</v>
      </c>
      <c r="M5" s="412" t="e">
        <f t="shared" si="2"/>
        <v>#DIV/0!</v>
      </c>
      <c r="N5" s="431">
        <f>N4</f>
        <v>282</v>
      </c>
      <c r="O5" s="414">
        <f t="shared" si="3"/>
        <v>0</v>
      </c>
      <c r="P5" s="411" t="e">
        <f t="shared" si="4"/>
        <v>#DIV/0!</v>
      </c>
      <c r="Q5" s="412" t="e">
        <f t="shared" si="5"/>
        <v>#DIV/0!</v>
      </c>
      <c r="R5" s="415" t="s">
        <v>292</v>
      </c>
      <c r="S5" s="428"/>
      <c r="T5" s="95"/>
      <c r="U5" s="95"/>
      <c r="V5" s="95"/>
      <c r="W5" s="95"/>
      <c r="X5" s="95"/>
      <c r="Y5" s="95"/>
    </row>
    <row r="6" spans="2:26" s="43" customFormat="1" x14ac:dyDescent="0.25">
      <c r="C6" s="439">
        <f t="shared" ref="C6:C10" si="7">F6/F5</f>
        <v>0.94444444444444442</v>
      </c>
      <c r="D6" s="409" t="s">
        <v>10</v>
      </c>
      <c r="E6" s="409" t="s">
        <v>13</v>
      </c>
      <c r="F6" s="82">
        <v>255</v>
      </c>
      <c r="G6" s="410"/>
      <c r="H6" s="82"/>
      <c r="I6" s="410" t="e">
        <f t="shared" si="0"/>
        <v>#DIV/0!</v>
      </c>
      <c r="J6" s="410" t="e">
        <f t="shared" si="1"/>
        <v>#DIV/0!</v>
      </c>
      <c r="K6" s="410">
        <f>K4</f>
        <v>223.59</v>
      </c>
      <c r="L6" s="411" t="e">
        <f t="shared" si="6"/>
        <v>#DIV/0!</v>
      </c>
      <c r="M6" s="412" t="e">
        <f t="shared" si="2"/>
        <v>#DIV/0!</v>
      </c>
      <c r="N6" s="431">
        <f>N4</f>
        <v>282</v>
      </c>
      <c r="O6" s="414">
        <f t="shared" si="3"/>
        <v>0</v>
      </c>
      <c r="P6" s="411" t="e">
        <f t="shared" si="4"/>
        <v>#DIV/0!</v>
      </c>
      <c r="Q6" s="412" t="e">
        <f t="shared" si="5"/>
        <v>#DIV/0!</v>
      </c>
      <c r="R6" s="415" t="s">
        <v>218</v>
      </c>
      <c r="S6" s="428"/>
      <c r="T6" s="95"/>
      <c r="U6" s="95"/>
      <c r="V6" s="95"/>
      <c r="W6" s="95"/>
      <c r="X6" s="95"/>
      <c r="Y6" s="95"/>
    </row>
    <row r="7" spans="2:26" s="43" customFormat="1" x14ac:dyDescent="0.25">
      <c r="C7" s="439">
        <f t="shared" si="7"/>
        <v>0.96078431372549022</v>
      </c>
      <c r="D7" s="409" t="s">
        <v>10</v>
      </c>
      <c r="E7" s="409" t="s">
        <v>13</v>
      </c>
      <c r="F7" s="82">
        <v>245</v>
      </c>
      <c r="G7" s="410"/>
      <c r="H7" s="82"/>
      <c r="I7" s="410" t="e">
        <f t="shared" ref="I7" si="8">((F7*G7)+H7)/G7</f>
        <v>#DIV/0!</v>
      </c>
      <c r="J7" s="410" t="e">
        <f t="shared" ref="J7" si="9">I7*G7</f>
        <v>#DIV/0!</v>
      </c>
      <c r="K7" s="410">
        <f t="shared" ref="K7" si="10">K4</f>
        <v>223.59</v>
      </c>
      <c r="L7" s="411" t="e">
        <f t="shared" ref="L7" si="11">(K7-I7)*G7</f>
        <v>#DIV/0!</v>
      </c>
      <c r="M7" s="412" t="e">
        <f t="shared" ref="M7" si="12">L7/J7</f>
        <v>#DIV/0!</v>
      </c>
      <c r="N7" s="431">
        <f t="shared" ref="N7" si="13">N4</f>
        <v>282</v>
      </c>
      <c r="O7" s="414">
        <f t="shared" ref="O7" si="14">N7*G7</f>
        <v>0</v>
      </c>
      <c r="P7" s="411" t="e">
        <f t="shared" ref="P7" si="15">(N7-I7)*G7</f>
        <v>#DIV/0!</v>
      </c>
      <c r="Q7" s="412" t="e">
        <f t="shared" ref="Q7" si="16">P7/J7</f>
        <v>#DIV/0!</v>
      </c>
      <c r="R7" s="415" t="s">
        <v>218</v>
      </c>
      <c r="S7" s="428"/>
      <c r="T7" s="95"/>
      <c r="U7" s="95"/>
      <c r="V7" s="95"/>
      <c r="W7" s="95"/>
      <c r="X7" s="95"/>
      <c r="Y7" s="95"/>
    </row>
    <row r="8" spans="2:26" s="43" customFormat="1" x14ac:dyDescent="0.25">
      <c r="C8" s="439">
        <f t="shared" si="7"/>
        <v>0.95918367346938771</v>
      </c>
      <c r="D8" s="409" t="s">
        <v>10</v>
      </c>
      <c r="E8" s="409" t="s">
        <v>13</v>
      </c>
      <c r="F8" s="82">
        <v>235</v>
      </c>
      <c r="G8" s="410"/>
      <c r="H8" s="82"/>
      <c r="I8" s="410" t="e">
        <f t="shared" si="0"/>
        <v>#DIV/0!</v>
      </c>
      <c r="J8" s="410" t="e">
        <f t="shared" si="1"/>
        <v>#DIV/0!</v>
      </c>
      <c r="K8" s="410">
        <f>K4</f>
        <v>223.59</v>
      </c>
      <c r="L8" s="411" t="e">
        <f t="shared" si="6"/>
        <v>#DIV/0!</v>
      </c>
      <c r="M8" s="412" t="e">
        <f t="shared" si="2"/>
        <v>#DIV/0!</v>
      </c>
      <c r="N8" s="431">
        <f>N4</f>
        <v>282</v>
      </c>
      <c r="O8" s="414">
        <f t="shared" si="3"/>
        <v>0</v>
      </c>
      <c r="P8" s="411" t="e">
        <f t="shared" si="4"/>
        <v>#DIV/0!</v>
      </c>
      <c r="Q8" s="412" t="e">
        <f t="shared" si="5"/>
        <v>#DIV/0!</v>
      </c>
      <c r="R8" s="415" t="s">
        <v>218</v>
      </c>
      <c r="S8" s="428"/>
      <c r="T8" s="95"/>
      <c r="U8" s="95"/>
      <c r="V8" s="95"/>
      <c r="W8" s="95"/>
      <c r="X8" s="95"/>
      <c r="Y8" s="95"/>
    </row>
    <row r="9" spans="2:26" s="43" customFormat="1" x14ac:dyDescent="0.25">
      <c r="C9" s="439">
        <f t="shared" si="7"/>
        <v>0.93617021276595747</v>
      </c>
      <c r="D9" s="409" t="s">
        <v>10</v>
      </c>
      <c r="E9" s="409" t="s">
        <v>13</v>
      </c>
      <c r="F9" s="82">
        <v>220</v>
      </c>
      <c r="G9" s="410"/>
      <c r="H9" s="82"/>
      <c r="I9" s="410" t="e">
        <f t="shared" ref="I9:I10" si="17">((F9*G9)+H9)/G9</f>
        <v>#DIV/0!</v>
      </c>
      <c r="J9" s="410" t="e">
        <f t="shared" ref="J9:J10" si="18">I9*G9</f>
        <v>#DIV/0!</v>
      </c>
      <c r="K9" s="410">
        <f>K5</f>
        <v>223.59</v>
      </c>
      <c r="L9" s="411" t="e">
        <f t="shared" ref="L9:L10" si="19">(K9-I9)*G9</f>
        <v>#DIV/0!</v>
      </c>
      <c r="M9" s="412" t="e">
        <f t="shared" ref="M9:M10" si="20">L9/J9</f>
        <v>#DIV/0!</v>
      </c>
      <c r="N9" s="431">
        <f>N5</f>
        <v>282</v>
      </c>
      <c r="O9" s="414">
        <f t="shared" ref="O9:O10" si="21">N9*G9</f>
        <v>0</v>
      </c>
      <c r="P9" s="411" t="e">
        <f t="shared" ref="P9:P10" si="22">(N9-I9)*G9</f>
        <v>#DIV/0!</v>
      </c>
      <c r="Q9" s="412" t="e">
        <f t="shared" ref="Q9:Q10" si="23">P9/J9</f>
        <v>#DIV/0!</v>
      </c>
      <c r="R9" s="415" t="s">
        <v>218</v>
      </c>
      <c r="S9" s="95"/>
      <c r="T9" s="95"/>
      <c r="U9" s="95"/>
      <c r="V9" s="95"/>
      <c r="W9" s="95"/>
      <c r="X9" s="95"/>
      <c r="Y9" s="95"/>
    </row>
    <row r="10" spans="2:26" s="43" customFormat="1" x14ac:dyDescent="0.25">
      <c r="C10" s="439">
        <f t="shared" si="7"/>
        <v>0.90909090909090906</v>
      </c>
      <c r="D10" s="409" t="s">
        <v>10</v>
      </c>
      <c r="E10" s="409" t="s">
        <v>13</v>
      </c>
      <c r="F10" s="82">
        <v>200</v>
      </c>
      <c r="G10" s="410"/>
      <c r="H10" s="82"/>
      <c r="I10" s="410" t="e">
        <f t="shared" si="17"/>
        <v>#DIV/0!</v>
      </c>
      <c r="J10" s="410" t="e">
        <f t="shared" si="18"/>
        <v>#DIV/0!</v>
      </c>
      <c r="K10" s="410">
        <f t="shared" ref="K10" si="24">K9</f>
        <v>223.59</v>
      </c>
      <c r="L10" s="411" t="e">
        <f t="shared" si="19"/>
        <v>#DIV/0!</v>
      </c>
      <c r="M10" s="412" t="e">
        <f t="shared" si="20"/>
        <v>#DIV/0!</v>
      </c>
      <c r="N10" s="413">
        <f t="shared" ref="N10" si="25">K10</f>
        <v>223.59</v>
      </c>
      <c r="O10" s="414">
        <f t="shared" si="21"/>
        <v>0</v>
      </c>
      <c r="P10" s="411" t="e">
        <f t="shared" si="22"/>
        <v>#DIV/0!</v>
      </c>
      <c r="Q10" s="412" t="e">
        <f t="shared" si="23"/>
        <v>#DIV/0!</v>
      </c>
      <c r="R10" s="415" t="s">
        <v>218</v>
      </c>
      <c r="S10" s="95"/>
      <c r="T10" s="95"/>
      <c r="U10" s="95"/>
      <c r="V10" s="95"/>
      <c r="W10" s="95"/>
      <c r="X10" s="95"/>
      <c r="Y10" s="95"/>
    </row>
    <row r="11" spans="2:26" s="43" customFormat="1" x14ac:dyDescent="0.25">
      <c r="D11" s="402"/>
      <c r="E11" s="402"/>
      <c r="F11" s="403"/>
      <c r="G11" s="403"/>
      <c r="H11" s="403"/>
      <c r="I11" s="403"/>
      <c r="J11" s="403"/>
      <c r="K11" s="403"/>
      <c r="L11" s="404"/>
      <c r="M11" s="405"/>
      <c r="N11" s="405"/>
      <c r="O11" s="405"/>
      <c r="P11" s="405"/>
      <c r="Q11" s="405"/>
      <c r="R11" s="405"/>
      <c r="S11" s="95"/>
      <c r="T11" s="95"/>
      <c r="U11" s="408"/>
      <c r="V11" s="95"/>
      <c r="W11" s="95"/>
      <c r="X11" s="95"/>
      <c r="Y11" s="95"/>
    </row>
    <row r="12" spans="2:26" s="91" customFormat="1" x14ac:dyDescent="0.25">
      <c r="B12" s="55"/>
      <c r="D12" s="399" t="s">
        <v>10</v>
      </c>
      <c r="E12" s="399" t="s">
        <v>13</v>
      </c>
      <c r="F12" s="400" t="e">
        <f>(F4*G4+F5*G5+F6*G6+F7*G7+F8*G8+F9*G9+F10*G10)/G12</f>
        <v>#DIV/0!</v>
      </c>
      <c r="G12" s="363">
        <f>SUM(G4:G10)</f>
        <v>0</v>
      </c>
      <c r="H12" s="363">
        <f>SUM(H4:H10)</f>
        <v>0</v>
      </c>
      <c r="I12" s="363" t="e">
        <f>((F12*G12)+H12)/G12</f>
        <v>#DIV/0!</v>
      </c>
      <c r="J12" s="363" t="e">
        <f>I12*G12</f>
        <v>#DIV/0!</v>
      </c>
      <c r="K12" s="363">
        <f>K4</f>
        <v>223.59</v>
      </c>
      <c r="L12" s="364" t="e">
        <f>(K12-I12)*G12</f>
        <v>#DIV/0!</v>
      </c>
      <c r="M12" s="365" t="e">
        <f>L12/J12</f>
        <v>#DIV/0!</v>
      </c>
      <c r="N12" s="366"/>
      <c r="O12" s="366"/>
      <c r="P12" s="364"/>
      <c r="Q12" s="365"/>
      <c r="R12" s="401"/>
      <c r="S12" s="77"/>
      <c r="T12" s="77"/>
      <c r="U12" s="200" t="e">
        <f>(('SG Portfolio'!$D$4+'SG Portfolio'!$D$5)-('SG Portfolio'!$E$17+'SG Portfolio'!$E$18+'SG Portfolio'!$E$19))+((J12+#REF!)+(L12+#REF!))*(1-'Fee and Margin'!$E$25)+('SG Portfolio'!$E$18+'SG Portfolio'!$H$18)*(1-'Fee and Margin'!$E$26)+('SG Portfolio'!$E$19+'SG Portfolio'!$H$19)*(1-'Fee and Margin'!$E$27)</f>
        <v>#DIV/0!</v>
      </c>
      <c r="V12" s="200" t="e">
        <f>((J12+#REF!)+(L12+#REF!))*'Fee and Margin'!$F$25+('SG Portfolio'!$E$18+'SG Portfolio'!$H$18)*'Fee and Margin'!$F$26+('SG Portfolio'!$E$19+'SG Portfolio'!$H$19)*'Fee and Margin'!$F$27-((('SG Portfolio'!$D$4+'SG Portfolio'!$D$5)-('SG Portfolio'!$E$17+'SG Portfolio'!$E$18+'SG Portfolio'!$E$19))+((J12+#REF!)+(L12+#REF!)+'SG Portfolio'!$E$18+'SG Portfolio'!$H$18+'SG Portfolio'!$E$19+'SG Portfolio'!$H$19))</f>
        <v>#DIV/0!</v>
      </c>
      <c r="W12" s="200" t="e">
        <f>((J12+#REF!)+(L12+#REF!))*'Fee and Margin'!$G$25+('SG Portfolio'!$E$18+'SG Portfolio'!$H$18)*'Fee and Margin'!$G$26+('SG Portfolio'!$E$19+'SG Portfolio'!$H$19)*'Fee and Margin'!$G$27-((('SG Portfolio'!$D$4+'SG Portfolio'!$D$5)-('SG Portfolio'!$E$17+'SG Portfolio'!$E$18+'SG Portfolio'!$E$19))+((J12+#REF!)+(L12+#REF!)+'SG Portfolio'!$E$18+'SG Portfolio'!$H$18+'SG Portfolio'!$E$19+'SG Portfolio'!$H$19))</f>
        <v>#DIV/0!</v>
      </c>
      <c r="X12" s="95"/>
      <c r="Y12" s="95"/>
    </row>
    <row r="13" spans="2:26" x14ac:dyDescent="0.25">
      <c r="D13" s="78" t="s">
        <v>10</v>
      </c>
      <c r="E13" s="78" t="s">
        <v>13</v>
      </c>
      <c r="F13" s="90" t="e">
        <f>$F$12</f>
        <v>#DIV/0!</v>
      </c>
      <c r="G13" s="81">
        <f>$G$12</f>
        <v>0</v>
      </c>
      <c r="H13" s="81">
        <f>$H$12</f>
        <v>0</v>
      </c>
      <c r="I13" s="81" t="e">
        <f t="shared" ref="I13:I14" si="26">((F13*G13)+H13)/G13</f>
        <v>#DIV/0!</v>
      </c>
      <c r="J13" s="81" t="e">
        <f t="shared" ref="J13:J14" si="27">I13*G13</f>
        <v>#DIV/0!</v>
      </c>
      <c r="K13" s="81">
        <v>265</v>
      </c>
      <c r="L13" s="76" t="e">
        <f t="shared" ref="L13:L14" si="28">(K13-I13)*G13</f>
        <v>#DIV/0!</v>
      </c>
      <c r="M13" s="77" t="e">
        <f t="shared" ref="M13:M14" si="29">L13/J13</f>
        <v>#DIV/0!</v>
      </c>
      <c r="N13" s="77"/>
      <c r="O13" s="77"/>
      <c r="P13" s="76"/>
      <c r="Q13" s="77"/>
      <c r="R13" s="77"/>
      <c r="S13" s="77"/>
      <c r="T13" s="77"/>
      <c r="U13" s="200" t="e">
        <f>(('SG Portfolio'!$D$4+'SG Portfolio'!$D$5)-('SG Portfolio'!$E$17+'SG Portfolio'!$E$18+'SG Portfolio'!$E$19))+((J13+#REF!)+(L13+#REF!))*(1-'Fee and Margin'!$E$25)+('SG Portfolio'!$E$18+'SG Portfolio'!$H$18)*(1-'Fee and Margin'!$E$26)+('SG Portfolio'!$E$19+'SG Portfolio'!$H$19)*(1-'Fee and Margin'!$E$27)</f>
        <v>#DIV/0!</v>
      </c>
      <c r="V13" s="200" t="e">
        <f>((J13+#REF!)+(L13+#REF!))*'Fee and Margin'!$F$25+('SG Portfolio'!$E$18+'SG Portfolio'!$H$18)*'Fee and Margin'!$F$26+('SG Portfolio'!$E$19+'SG Portfolio'!$H$19)*'Fee and Margin'!$F$27-((('SG Portfolio'!$D$4+'SG Portfolio'!$D$5)-('SG Portfolio'!$E$17+'SG Portfolio'!$E$18+'SG Portfolio'!$E$19))+((J13+#REF!)+(L13+#REF!)+'SG Portfolio'!$E$18+'SG Portfolio'!$H$18+'SG Portfolio'!$E$19+'SG Portfolio'!$H$19))</f>
        <v>#DIV/0!</v>
      </c>
      <c r="W13" s="200" t="e">
        <f>((J13+#REF!)+(L13+#REF!))*'Fee and Margin'!$G$25+('SG Portfolio'!$E$18+'SG Portfolio'!$H$18)*'Fee and Margin'!$G$26+('SG Portfolio'!$E$19+'SG Portfolio'!$H$19)*'Fee and Margin'!$G$27-((('SG Portfolio'!$D$4+'SG Portfolio'!$D$5)-('SG Portfolio'!$E$17+'SG Portfolio'!$E$18+'SG Portfolio'!$E$19))+((J13+#REF!)+(L13+#REF!)+'SG Portfolio'!$E$18+'SG Portfolio'!$H$18+'SG Portfolio'!$E$19+'SG Portfolio'!$H$19))</f>
        <v>#DIV/0!</v>
      </c>
      <c r="X13" s="95"/>
      <c r="Y13" s="95"/>
    </row>
    <row r="14" spans="2:26" x14ac:dyDescent="0.25">
      <c r="D14" s="78" t="s">
        <v>10</v>
      </c>
      <c r="E14" s="78" t="s">
        <v>13</v>
      </c>
      <c r="F14" s="90" t="e">
        <f t="shared" ref="F14:F18" si="30">$F$12</f>
        <v>#DIV/0!</v>
      </c>
      <c r="G14" s="81">
        <f t="shared" ref="G14:G18" si="31">$G$12</f>
        <v>0</v>
      </c>
      <c r="H14" s="81">
        <f t="shared" ref="H14:H18" si="32">$H$12</f>
        <v>0</v>
      </c>
      <c r="I14" s="81" t="e">
        <f t="shared" si="26"/>
        <v>#DIV/0!</v>
      </c>
      <c r="J14" s="81" t="e">
        <f t="shared" si="27"/>
        <v>#DIV/0!</v>
      </c>
      <c r="K14" s="81">
        <f>'FB Analysis'!H32</f>
        <v>239.23390000000001</v>
      </c>
      <c r="L14" s="76" t="e">
        <f t="shared" si="28"/>
        <v>#DIV/0!</v>
      </c>
      <c r="M14" s="77" t="e">
        <f t="shared" si="29"/>
        <v>#DIV/0!</v>
      </c>
      <c r="N14" s="77"/>
      <c r="O14" s="77"/>
      <c r="P14" s="76"/>
      <c r="Q14" s="77"/>
      <c r="R14" s="77"/>
      <c r="S14" s="77"/>
      <c r="T14" s="77"/>
      <c r="U14" s="200" t="e">
        <f>(('SG Portfolio'!$D$4+'SG Portfolio'!$D$5)-('SG Portfolio'!$E$17+'SG Portfolio'!$E$18+'SG Portfolio'!$E$19))+((J14+#REF!)+(L14+#REF!))*(1-'Fee and Margin'!$E$25)+('SG Portfolio'!$E$18+'SG Portfolio'!$H$18)*(1-'Fee and Margin'!$E$26)+('SG Portfolio'!$E$19+'SG Portfolio'!$H$19)*(1-'Fee and Margin'!$E$27)</f>
        <v>#DIV/0!</v>
      </c>
      <c r="V14" s="200" t="e">
        <f>((J14+#REF!)+(L14+#REF!))*'Fee and Margin'!$F$25+('SG Portfolio'!$E$18+'SG Portfolio'!$H$18)*'Fee and Margin'!$F$26+('SG Portfolio'!$E$19+'SG Portfolio'!$H$19)*'Fee and Margin'!$F$27-((('SG Portfolio'!$D$4+'SG Portfolio'!$D$5)-('SG Portfolio'!$E$17+'SG Portfolio'!$E$18+'SG Portfolio'!$E$19))+((J14+#REF!)+(L14+#REF!)+'SG Portfolio'!$E$18+'SG Portfolio'!$H$18+'SG Portfolio'!$E$19+'SG Portfolio'!$H$19))</f>
        <v>#DIV/0!</v>
      </c>
      <c r="W14" s="200" t="e">
        <f>((J14+#REF!)+(L14+#REF!))*'Fee and Margin'!$G$25+('SG Portfolio'!$E$18+'SG Portfolio'!$H$18)*'Fee and Margin'!$G$26+('SG Portfolio'!$E$19+'SG Portfolio'!$H$19)*'Fee and Margin'!$G$27-((('SG Portfolio'!$D$4+'SG Portfolio'!$D$5)-('SG Portfolio'!$E$17+'SG Portfolio'!$E$18+'SG Portfolio'!$E$19))+((J14+#REF!)+(L14+#REF!)+'SG Portfolio'!$E$18+'SG Portfolio'!$H$18+'SG Portfolio'!$E$19+'SG Portfolio'!$H$19))</f>
        <v>#DIV/0!</v>
      </c>
      <c r="X14" s="95"/>
      <c r="Y14" s="95"/>
    </row>
    <row r="15" spans="2:26" x14ac:dyDescent="0.25">
      <c r="D15" s="78" t="s">
        <v>10</v>
      </c>
      <c r="E15" s="78" t="s">
        <v>13</v>
      </c>
      <c r="F15" s="90" t="e">
        <f t="shared" si="30"/>
        <v>#DIV/0!</v>
      </c>
      <c r="G15" s="81">
        <f t="shared" si="31"/>
        <v>0</v>
      </c>
      <c r="H15" s="81">
        <f t="shared" si="32"/>
        <v>0</v>
      </c>
      <c r="I15" s="81" t="e">
        <f t="shared" ref="I15:I16" si="33">((F15*G15)+H15)/G15</f>
        <v>#DIV/0!</v>
      </c>
      <c r="J15" s="81" t="e">
        <f t="shared" ref="J15:J16" si="34">I15*G15</f>
        <v>#DIV/0!</v>
      </c>
      <c r="K15" s="81">
        <v>220</v>
      </c>
      <c r="L15" s="76" t="e">
        <f t="shared" ref="L15:L16" si="35">(K15-I15)*G15</f>
        <v>#DIV/0!</v>
      </c>
      <c r="M15" s="77" t="e">
        <f t="shared" ref="M15:M16" si="36">L15/J15</f>
        <v>#DIV/0!</v>
      </c>
      <c r="N15" s="77"/>
      <c r="O15" s="77"/>
      <c r="P15" s="76"/>
      <c r="Q15" s="77"/>
      <c r="R15" s="77"/>
      <c r="S15" s="77"/>
      <c r="T15" s="77"/>
      <c r="U15" s="200" t="e">
        <f>(('SG Portfolio'!$D$4+'SG Portfolio'!$D$5)-('SG Portfolio'!$E$17+'SG Portfolio'!$E$18+'SG Portfolio'!$E$19))+((J15+#REF!)+(L15+#REF!))*(1-'Fee and Margin'!$E$25)+('SG Portfolio'!$E$18+'SG Portfolio'!$H$18)*(1-'Fee and Margin'!$E$26)+('SG Portfolio'!$E$19+'SG Portfolio'!$H$19)*(1-'Fee and Margin'!$E$27)</f>
        <v>#DIV/0!</v>
      </c>
      <c r="V15" s="200" t="e">
        <f>((J15+#REF!)+(L15+#REF!))*'Fee and Margin'!$F$25+('SG Portfolio'!$E$18+'SG Portfolio'!$H$18)*'Fee and Margin'!$F$26+('SG Portfolio'!$E$19+'SG Portfolio'!$H$19)*'Fee and Margin'!$F$27-((('SG Portfolio'!$D$4+'SG Portfolio'!$D$5)-('SG Portfolio'!$E$17+'SG Portfolio'!$E$18+'SG Portfolio'!$E$19))+((J15+#REF!)+(L15+#REF!)+'SG Portfolio'!$E$18+'SG Portfolio'!$H$18+'SG Portfolio'!$E$19+'SG Portfolio'!$H$19))</f>
        <v>#DIV/0!</v>
      </c>
      <c r="W15" s="200" t="e">
        <f>((J15+#REF!)+(L15+#REF!))*'Fee and Margin'!$G$25+('SG Portfolio'!$E$18+'SG Portfolio'!$H$18)*'Fee and Margin'!$G$26+('SG Portfolio'!$E$19+'SG Portfolio'!$H$19)*'Fee and Margin'!$G$27-((('SG Portfolio'!$D$4+'SG Portfolio'!$D$5)-('SG Portfolio'!$E$17+'SG Portfolio'!$E$18+'SG Portfolio'!$E$19))+((J15+#REF!)+(L15+#REF!)+'SG Portfolio'!$E$18+'SG Portfolio'!$H$18+'SG Portfolio'!$E$19+'SG Portfolio'!$H$19))</f>
        <v>#DIV/0!</v>
      </c>
      <c r="X15" s="95"/>
      <c r="Y15" s="95"/>
    </row>
    <row r="16" spans="2:26" x14ac:dyDescent="0.25">
      <c r="D16" s="78" t="s">
        <v>10</v>
      </c>
      <c r="E16" s="78" t="s">
        <v>13</v>
      </c>
      <c r="F16" s="90" t="e">
        <f t="shared" si="30"/>
        <v>#DIV/0!</v>
      </c>
      <c r="G16" s="81">
        <f t="shared" si="31"/>
        <v>0</v>
      </c>
      <c r="H16" s="81">
        <f t="shared" si="32"/>
        <v>0</v>
      </c>
      <c r="I16" s="81" t="e">
        <f t="shared" si="33"/>
        <v>#DIV/0!</v>
      </c>
      <c r="J16" s="81" t="e">
        <f t="shared" si="34"/>
        <v>#DIV/0!</v>
      </c>
      <c r="K16" s="81">
        <v>202</v>
      </c>
      <c r="L16" s="76" t="e">
        <f t="shared" si="35"/>
        <v>#DIV/0!</v>
      </c>
      <c r="M16" s="77" t="e">
        <f t="shared" si="36"/>
        <v>#DIV/0!</v>
      </c>
      <c r="N16" s="77"/>
      <c r="O16" s="77"/>
      <c r="P16" s="76"/>
      <c r="Q16" s="77"/>
      <c r="R16" s="77"/>
      <c r="S16" s="77"/>
      <c r="T16" s="77"/>
      <c r="U16" s="200" t="e">
        <f>(('SG Portfolio'!$D$4+'SG Portfolio'!$D$5)-('SG Portfolio'!$E$17+'SG Portfolio'!$E$18+'SG Portfolio'!$E$19))+((J16+#REF!)+(L16+#REF!))*(1-'Fee and Margin'!$E$25)+('SG Portfolio'!$E$18+'SG Portfolio'!$H$18)*(1-'Fee and Margin'!$E$26)+('SG Portfolio'!$E$19+'SG Portfolio'!$H$19)*(1-'Fee and Margin'!$E$27)</f>
        <v>#DIV/0!</v>
      </c>
      <c r="V16" s="200" t="e">
        <f>((J16+#REF!)+(L16+#REF!))*'Fee and Margin'!$F$25+('SG Portfolio'!$E$18+'SG Portfolio'!$H$18)*'Fee and Margin'!$F$26+('SG Portfolio'!$E$19+'SG Portfolio'!$H$19)*'Fee and Margin'!$F$27-((('SG Portfolio'!$D$4+'SG Portfolio'!$D$5)-('SG Portfolio'!$E$17+'SG Portfolio'!$E$18+'SG Portfolio'!$E$19))+((J16+#REF!)+(L16+#REF!)+'SG Portfolio'!$E$18+'SG Portfolio'!$H$18+'SG Portfolio'!$E$19+'SG Portfolio'!$H$19))</f>
        <v>#DIV/0!</v>
      </c>
      <c r="W16" s="200" t="e">
        <f>((J16+#REF!)+(L16+#REF!))*'Fee and Margin'!$G$25+('SG Portfolio'!$E$18+'SG Portfolio'!$H$18)*'Fee and Margin'!$G$26+('SG Portfolio'!$E$19+'SG Portfolio'!$H$19)*'Fee and Margin'!$G$27-((('SG Portfolio'!$D$4+'SG Portfolio'!$D$5)-('SG Portfolio'!$E$17+'SG Portfolio'!$E$18+'SG Portfolio'!$E$19))+((J16+#REF!)+(L16+#REF!)+'SG Portfolio'!$E$18+'SG Portfolio'!$H$18+'SG Portfolio'!$E$19+'SG Portfolio'!$H$19))</f>
        <v>#DIV/0!</v>
      </c>
      <c r="X16" s="95"/>
      <c r="Y16" s="95"/>
    </row>
    <row r="17" spans="4:25" x14ac:dyDescent="0.25">
      <c r="D17" s="78" t="s">
        <v>10</v>
      </c>
      <c r="E17" s="78" t="s">
        <v>13</v>
      </c>
      <c r="F17" s="90" t="e">
        <f t="shared" si="30"/>
        <v>#DIV/0!</v>
      </c>
      <c r="G17" s="81">
        <f t="shared" si="31"/>
        <v>0</v>
      </c>
      <c r="H17" s="81">
        <f t="shared" si="32"/>
        <v>0</v>
      </c>
      <c r="I17" s="81" t="e">
        <f t="shared" ref="I17:I18" si="37">((F17*G17)+H17)/G17</f>
        <v>#DIV/0!</v>
      </c>
      <c r="J17" s="81" t="e">
        <f t="shared" ref="J17:J18" si="38">I17*G17</f>
        <v>#DIV/0!</v>
      </c>
      <c r="K17" s="81">
        <v>185</v>
      </c>
      <c r="L17" s="76" t="e">
        <f t="shared" ref="L17:L18" si="39">(K17-I17)*G17</f>
        <v>#DIV/0!</v>
      </c>
      <c r="M17" s="77" t="e">
        <f t="shared" ref="M17:M18" si="40">L17/J17</f>
        <v>#DIV/0!</v>
      </c>
      <c r="N17" s="77"/>
      <c r="O17" s="77"/>
      <c r="P17" s="76"/>
      <c r="Q17" s="77"/>
      <c r="R17" s="77"/>
      <c r="S17" s="77"/>
      <c r="T17" s="77"/>
      <c r="U17" s="200" t="e">
        <f>(('SG Portfolio'!$D$4+'SG Portfolio'!$D$5)-('SG Portfolio'!$E$17+'SG Portfolio'!$E$18+'SG Portfolio'!$E$19))+((J17+#REF!)+(L17+#REF!))*(1-'Fee and Margin'!$E$25)+('SG Portfolio'!$E$18+'SG Portfolio'!$H$18)*(1-'Fee and Margin'!$E$26)+('SG Portfolio'!$E$19+'SG Portfolio'!$H$19)*(1-'Fee and Margin'!$E$27)</f>
        <v>#DIV/0!</v>
      </c>
      <c r="V17" s="200" t="e">
        <f>((J17+#REF!)+(L17+#REF!))*'Fee and Margin'!$F$25+('SG Portfolio'!$E$18+'SG Portfolio'!$H$18)*'Fee and Margin'!$F$26+('SG Portfolio'!$E$19+'SG Portfolio'!$H$19)*'Fee and Margin'!$F$27-((('SG Portfolio'!$D$4+'SG Portfolio'!$D$5)-('SG Portfolio'!$E$17+'SG Portfolio'!$E$18+'SG Portfolio'!$E$19))+((J17+#REF!)+(L17+#REF!)+'SG Portfolio'!$E$18+'SG Portfolio'!$H$18+'SG Portfolio'!$E$19+'SG Portfolio'!$H$19))</f>
        <v>#DIV/0!</v>
      </c>
      <c r="W17" s="200" t="e">
        <f>((J17+#REF!)+(L17+#REF!))*'Fee and Margin'!$G$25+('SG Portfolio'!$E$18+'SG Portfolio'!$H$18)*'Fee and Margin'!$G$26+('SG Portfolio'!$E$19+'SG Portfolio'!$H$19)*'Fee and Margin'!$G$27-((('SG Portfolio'!$D$4+'SG Portfolio'!$D$5)-('SG Portfolio'!$E$17+'SG Portfolio'!$E$18+'SG Portfolio'!$E$19))+((J17+#REF!)+(L17+#REF!)+'SG Portfolio'!$E$18+'SG Portfolio'!$H$18+'SG Portfolio'!$E$19+'SG Portfolio'!$H$19))</f>
        <v>#DIV/0!</v>
      </c>
      <c r="X17" s="95"/>
      <c r="Y17" s="95"/>
    </row>
    <row r="18" spans="4:25" x14ac:dyDescent="0.25">
      <c r="D18" s="78" t="s">
        <v>10</v>
      </c>
      <c r="E18" s="78" t="s">
        <v>13</v>
      </c>
      <c r="F18" s="90" t="e">
        <f t="shared" si="30"/>
        <v>#DIV/0!</v>
      </c>
      <c r="G18" s="81">
        <f t="shared" si="31"/>
        <v>0</v>
      </c>
      <c r="H18" s="81">
        <f t="shared" si="32"/>
        <v>0</v>
      </c>
      <c r="I18" s="81" t="e">
        <f t="shared" si="37"/>
        <v>#DIV/0!</v>
      </c>
      <c r="J18" s="81" t="e">
        <f t="shared" si="38"/>
        <v>#DIV/0!</v>
      </c>
      <c r="K18" s="81">
        <f>'FB Analysis'!I32</f>
        <v>174.72894319682956</v>
      </c>
      <c r="L18" s="76" t="e">
        <f t="shared" si="39"/>
        <v>#DIV/0!</v>
      </c>
      <c r="M18" s="77" t="e">
        <f t="shared" si="40"/>
        <v>#DIV/0!</v>
      </c>
      <c r="N18" s="77"/>
      <c r="O18" s="77"/>
      <c r="P18" s="76"/>
      <c r="Q18" s="77"/>
      <c r="R18" s="77"/>
      <c r="S18" s="77"/>
      <c r="T18" s="77"/>
      <c r="U18" s="200" t="e">
        <f>(('SG Portfolio'!$D$4+'SG Portfolio'!$D$5)-('SG Portfolio'!$E$17+'SG Portfolio'!$E$18+'SG Portfolio'!$E$19))+((J18+#REF!)+(L18+#REF!))*(1-'Fee and Margin'!$E$25)+('SG Portfolio'!$E$18+'SG Portfolio'!$H$18)*(1-'Fee and Margin'!$E$26)+('SG Portfolio'!$E$19+'SG Portfolio'!$H$19)*(1-'Fee and Margin'!$E$27)</f>
        <v>#DIV/0!</v>
      </c>
      <c r="V18" s="200" t="e">
        <f>((J18+#REF!)+(L18+#REF!))*'Fee and Margin'!$F$25+('SG Portfolio'!$E$18+'SG Portfolio'!$H$18)*'Fee and Margin'!$F$26+('SG Portfolio'!$E$19+'SG Portfolio'!$H$19)*'Fee and Margin'!$F$27-((('SG Portfolio'!$D$4+'SG Portfolio'!$D$5)-('SG Portfolio'!$E$17+'SG Portfolio'!$E$18+'SG Portfolio'!$E$19))+((J18+#REF!)+(L18+#REF!)+'SG Portfolio'!$E$18+'SG Portfolio'!$H$18+'SG Portfolio'!$E$19+'SG Portfolio'!$H$19))</f>
        <v>#DIV/0!</v>
      </c>
      <c r="W18" s="200" t="e">
        <f>((J18+#REF!)+(L18+#REF!))*'Fee and Margin'!$G$25+('SG Portfolio'!$E$18+'SG Portfolio'!$H$18)*'Fee and Margin'!$G$26+('SG Portfolio'!$E$19+'SG Portfolio'!$H$19)*'Fee and Margin'!$G$27-((('SG Portfolio'!$D$4+'SG Portfolio'!$D$5)-('SG Portfolio'!$E$17+'SG Portfolio'!$E$18+'SG Portfolio'!$E$19))+((J18+#REF!)+(L18+#REF!)+'SG Portfolio'!$E$18+'SG Portfolio'!$H$18+'SG Portfolio'!$E$19+'SG Portfolio'!$H$19))</f>
        <v>#DIV/0!</v>
      </c>
      <c r="X18" s="95"/>
      <c r="Y18" s="95"/>
    </row>
    <row r="19" spans="4:25" x14ac:dyDescent="0.25">
      <c r="D19" s="91"/>
      <c r="E19" s="91"/>
      <c r="F19" s="92"/>
      <c r="G19" s="93"/>
      <c r="H19" s="93"/>
      <c r="I19" s="93"/>
      <c r="J19" s="93"/>
      <c r="K19" s="93"/>
      <c r="L19" s="94"/>
      <c r="M19" s="95"/>
      <c r="N19" s="95"/>
      <c r="O19" s="95"/>
      <c r="P19" s="94"/>
      <c r="Q19" s="95"/>
      <c r="R19" s="95"/>
      <c r="S19" s="95"/>
      <c r="T19" s="95"/>
      <c r="U19" s="397"/>
      <c r="V19" s="397"/>
      <c r="W19" s="397"/>
      <c r="X19" s="95"/>
      <c r="Y19" s="95"/>
    </row>
    <row r="20" spans="4:25" x14ac:dyDescent="0.25">
      <c r="D20" s="78" t="s">
        <v>10</v>
      </c>
      <c r="E20" s="78" t="s">
        <v>13</v>
      </c>
      <c r="F20" s="81" t="e">
        <f>I12</f>
        <v>#DIV/0!</v>
      </c>
      <c r="G20" s="81">
        <v>30</v>
      </c>
      <c r="H20" s="81">
        <v>8.8800000000000008</v>
      </c>
      <c r="I20" s="81" t="e">
        <f t="shared" ref="I20" si="41">((F20*G20)+H20)/G20</f>
        <v>#DIV/0!</v>
      </c>
      <c r="J20" s="81" t="e">
        <f t="shared" ref="J20" si="42">I20*G20</f>
        <v>#DIV/0!</v>
      </c>
      <c r="K20" s="141">
        <f>K4</f>
        <v>223.59</v>
      </c>
      <c r="L20" s="76" t="e">
        <f>(K20-I20)*G20</f>
        <v>#DIV/0!</v>
      </c>
      <c r="M20" s="77" t="e">
        <f>L20/J20</f>
        <v>#DIV/0!</v>
      </c>
      <c r="N20" s="362">
        <v>280</v>
      </c>
      <c r="O20" s="362">
        <f t="shared" ref="O20" si="43">N20*G20</f>
        <v>8400</v>
      </c>
      <c r="P20" s="76" t="e">
        <f>(N20-I20)*G20</f>
        <v>#DIV/0!</v>
      </c>
      <c r="Q20" s="77" t="e">
        <f>P20/J20</f>
        <v>#DIV/0!</v>
      </c>
      <c r="R20" s="398" t="s">
        <v>218</v>
      </c>
      <c r="S20" s="95"/>
      <c r="T20" s="95"/>
      <c r="U20" s="397"/>
      <c r="V20" s="397"/>
      <c r="W20" s="397"/>
      <c r="X20" s="95"/>
      <c r="Y20" s="95"/>
    </row>
    <row r="21" spans="4:25" x14ac:dyDescent="0.25">
      <c r="D21" s="78" t="s">
        <v>10</v>
      </c>
      <c r="E21" s="78" t="s">
        <v>13</v>
      </c>
      <c r="F21" s="81" t="e">
        <f t="shared" ref="F21:F25" si="44">I13</f>
        <v>#DIV/0!</v>
      </c>
      <c r="G21" s="81">
        <v>30</v>
      </c>
      <c r="H21" s="81">
        <v>8.8800000000000008</v>
      </c>
      <c r="I21" s="81" t="e">
        <f t="shared" ref="I21:I25" si="45">((F21*G21)+H21)/G21</f>
        <v>#DIV/0!</v>
      </c>
      <c r="J21" s="81" t="e">
        <f t="shared" ref="J21:J25" si="46">I21*G21</f>
        <v>#DIV/0!</v>
      </c>
      <c r="K21" s="141">
        <f>K4</f>
        <v>223.59</v>
      </c>
      <c r="L21" s="76" t="e">
        <f t="shared" ref="L21:L25" si="47">(K21-I21)*G21</f>
        <v>#DIV/0!</v>
      </c>
      <c r="M21" s="77" t="e">
        <f t="shared" ref="M21:M25" si="48">L21/J21</f>
        <v>#DIV/0!</v>
      </c>
      <c r="N21" s="362">
        <v>290</v>
      </c>
      <c r="O21" s="362">
        <f t="shared" ref="O21:O25" si="49">N21*G21</f>
        <v>8700</v>
      </c>
      <c r="P21" s="76" t="e">
        <f t="shared" ref="P21:P25" si="50">(N21-I21)*G21</f>
        <v>#DIV/0!</v>
      </c>
      <c r="Q21" s="77" t="e">
        <f t="shared" ref="Q21:Q25" si="51">P21/J21</f>
        <v>#DIV/0!</v>
      </c>
      <c r="R21" s="398" t="s">
        <v>218</v>
      </c>
      <c r="S21" s="95"/>
      <c r="T21" s="95"/>
      <c r="U21" s="397"/>
      <c r="V21" s="397"/>
      <c r="W21" s="397"/>
      <c r="X21" s="95"/>
      <c r="Y21" s="95"/>
    </row>
    <row r="22" spans="4:25" x14ac:dyDescent="0.25">
      <c r="D22" s="78" t="s">
        <v>10</v>
      </c>
      <c r="E22" s="78" t="s">
        <v>13</v>
      </c>
      <c r="F22" s="81" t="e">
        <f t="shared" si="44"/>
        <v>#DIV/0!</v>
      </c>
      <c r="G22" s="81">
        <v>40</v>
      </c>
      <c r="H22" s="81">
        <v>8.8800000000000008</v>
      </c>
      <c r="I22" s="81" t="e">
        <f t="shared" si="45"/>
        <v>#DIV/0!</v>
      </c>
      <c r="J22" s="81" t="e">
        <f t="shared" si="46"/>
        <v>#DIV/0!</v>
      </c>
      <c r="K22" s="141">
        <f>K5</f>
        <v>223.59</v>
      </c>
      <c r="L22" s="76" t="e">
        <f t="shared" si="47"/>
        <v>#DIV/0!</v>
      </c>
      <c r="M22" s="77" t="e">
        <f t="shared" si="48"/>
        <v>#DIV/0!</v>
      </c>
      <c r="N22" s="362">
        <v>300</v>
      </c>
      <c r="O22" s="362">
        <f t="shared" si="49"/>
        <v>12000</v>
      </c>
      <c r="P22" s="76" t="e">
        <f t="shared" si="50"/>
        <v>#DIV/0!</v>
      </c>
      <c r="Q22" s="77" t="e">
        <f t="shared" si="51"/>
        <v>#DIV/0!</v>
      </c>
      <c r="R22" s="398" t="s">
        <v>218</v>
      </c>
      <c r="S22" s="95"/>
      <c r="T22" s="95"/>
      <c r="U22" s="397"/>
      <c r="V22" s="397"/>
      <c r="W22" s="397"/>
      <c r="X22" s="95"/>
      <c r="Y22" s="95"/>
    </row>
    <row r="23" spans="4:25" x14ac:dyDescent="0.25">
      <c r="D23" s="78" t="s">
        <v>10</v>
      </c>
      <c r="E23" s="78" t="s">
        <v>13</v>
      </c>
      <c r="F23" s="81" t="e">
        <f t="shared" si="44"/>
        <v>#DIV/0!</v>
      </c>
      <c r="G23" s="81"/>
      <c r="H23" s="81"/>
      <c r="I23" s="81" t="e">
        <f t="shared" si="45"/>
        <v>#DIV/0!</v>
      </c>
      <c r="J23" s="81" t="e">
        <f t="shared" si="46"/>
        <v>#DIV/0!</v>
      </c>
      <c r="K23" s="141">
        <f>K5</f>
        <v>223.59</v>
      </c>
      <c r="L23" s="76" t="e">
        <f t="shared" si="47"/>
        <v>#DIV/0!</v>
      </c>
      <c r="M23" s="77" t="e">
        <f t="shared" si="48"/>
        <v>#DIV/0!</v>
      </c>
      <c r="N23" s="362">
        <v>280</v>
      </c>
      <c r="O23" s="362">
        <f t="shared" si="49"/>
        <v>0</v>
      </c>
      <c r="P23" s="76" t="e">
        <f t="shared" si="50"/>
        <v>#DIV/0!</v>
      </c>
      <c r="Q23" s="77" t="e">
        <f t="shared" si="51"/>
        <v>#DIV/0!</v>
      </c>
      <c r="R23" s="398" t="s">
        <v>218</v>
      </c>
      <c r="S23" s="95"/>
      <c r="T23" s="95"/>
      <c r="U23" s="397"/>
      <c r="V23" s="397"/>
      <c r="W23" s="397"/>
      <c r="X23" s="95"/>
      <c r="Y23" s="95"/>
    </row>
    <row r="24" spans="4:25" x14ac:dyDescent="0.25">
      <c r="D24" s="78" t="s">
        <v>10</v>
      </c>
      <c r="E24" s="78" t="s">
        <v>13</v>
      </c>
      <c r="F24" s="81" t="e">
        <f t="shared" si="44"/>
        <v>#DIV/0!</v>
      </c>
      <c r="G24" s="81"/>
      <c r="H24" s="81"/>
      <c r="I24" s="81" t="e">
        <f t="shared" si="45"/>
        <v>#DIV/0!</v>
      </c>
      <c r="J24" s="81" t="e">
        <f t="shared" si="46"/>
        <v>#DIV/0!</v>
      </c>
      <c r="K24" s="141">
        <f t="shared" ref="K24" si="52">K9</f>
        <v>223.59</v>
      </c>
      <c r="L24" s="76" t="e">
        <f t="shared" si="47"/>
        <v>#DIV/0!</v>
      </c>
      <c r="M24" s="77" t="e">
        <f t="shared" si="48"/>
        <v>#DIV/0!</v>
      </c>
      <c r="N24" s="362">
        <v>290</v>
      </c>
      <c r="O24" s="362">
        <f t="shared" si="49"/>
        <v>0</v>
      </c>
      <c r="P24" s="76" t="e">
        <f t="shared" si="50"/>
        <v>#DIV/0!</v>
      </c>
      <c r="Q24" s="77" t="e">
        <f t="shared" si="51"/>
        <v>#DIV/0!</v>
      </c>
      <c r="R24" s="398" t="s">
        <v>218</v>
      </c>
      <c r="S24" s="95"/>
      <c r="T24" s="95"/>
      <c r="U24" s="397"/>
      <c r="V24" s="397"/>
      <c r="W24" s="397"/>
      <c r="X24" s="95"/>
      <c r="Y24" s="95"/>
    </row>
    <row r="25" spans="4:25" x14ac:dyDescent="0.25">
      <c r="D25" s="78" t="s">
        <v>10</v>
      </c>
      <c r="E25" s="78" t="s">
        <v>13</v>
      </c>
      <c r="F25" s="81" t="e">
        <f t="shared" si="44"/>
        <v>#DIV/0!</v>
      </c>
      <c r="G25" s="81"/>
      <c r="H25" s="81"/>
      <c r="I25" s="81" t="e">
        <f t="shared" si="45"/>
        <v>#DIV/0!</v>
      </c>
      <c r="J25" s="81" t="e">
        <f t="shared" si="46"/>
        <v>#DIV/0!</v>
      </c>
      <c r="K25" s="141">
        <f>K5</f>
        <v>223.59</v>
      </c>
      <c r="L25" s="76" t="e">
        <f t="shared" si="47"/>
        <v>#DIV/0!</v>
      </c>
      <c r="M25" s="77" t="e">
        <f t="shared" si="48"/>
        <v>#DIV/0!</v>
      </c>
      <c r="N25" s="362">
        <v>300</v>
      </c>
      <c r="O25" s="362">
        <f t="shared" si="49"/>
        <v>0</v>
      </c>
      <c r="P25" s="76" t="e">
        <f t="shared" si="50"/>
        <v>#DIV/0!</v>
      </c>
      <c r="Q25" s="77" t="e">
        <f t="shared" si="51"/>
        <v>#DIV/0!</v>
      </c>
      <c r="R25" s="361" t="s">
        <v>218</v>
      </c>
      <c r="S25" s="95"/>
      <c r="T25" s="95"/>
      <c r="U25" s="397"/>
      <c r="V25" s="397"/>
      <c r="W25" s="397"/>
      <c r="X25" s="95"/>
      <c r="Y25" s="95"/>
    </row>
    <row r="26" spans="4:25" x14ac:dyDescent="0.25">
      <c r="D26" s="91"/>
      <c r="E26" s="91"/>
      <c r="F26" s="92"/>
      <c r="G26" s="93"/>
      <c r="H26" s="93"/>
      <c r="I26" s="93"/>
      <c r="J26" s="93"/>
      <c r="K26" s="93"/>
      <c r="L26" s="94"/>
      <c r="M26" s="95"/>
      <c r="N26" s="95"/>
      <c r="O26" s="95"/>
      <c r="P26" s="94"/>
      <c r="Q26" s="95"/>
      <c r="R26" s="95"/>
      <c r="S26" s="95"/>
      <c r="T26" s="95"/>
      <c r="U26" s="397"/>
      <c r="V26" s="397"/>
      <c r="W26" s="397"/>
      <c r="X26" s="95"/>
      <c r="Y26" s="95"/>
    </row>
    <row r="27" spans="4:25" x14ac:dyDescent="0.25">
      <c r="D27" s="91"/>
      <c r="E27" s="91"/>
      <c r="F27" s="92"/>
      <c r="G27" s="93"/>
      <c r="H27" s="93"/>
      <c r="I27" s="93"/>
      <c r="J27" s="93"/>
      <c r="K27" s="93"/>
      <c r="L27" s="94"/>
      <c r="M27" s="95"/>
      <c r="N27" s="95"/>
      <c r="O27" s="95"/>
      <c r="P27" s="94"/>
      <c r="Q27" s="95"/>
      <c r="R27" s="95"/>
      <c r="S27" s="95"/>
      <c r="T27" s="95"/>
      <c r="U27" s="397"/>
      <c r="V27" s="397"/>
      <c r="W27" s="397"/>
      <c r="X27" s="95"/>
      <c r="Y27" s="95"/>
    </row>
    <row r="28" spans="4:25" x14ac:dyDescent="0.25">
      <c r="E28" s="91"/>
      <c r="F28" s="92"/>
      <c r="G28" s="93"/>
      <c r="H28" s="93"/>
      <c r="I28" s="93"/>
      <c r="J28" s="93"/>
      <c r="K28" s="93"/>
      <c r="L28" s="94"/>
      <c r="M28" s="95"/>
      <c r="N28" s="95"/>
      <c r="O28" s="91"/>
      <c r="P28" s="407"/>
      <c r="Q28" s="408"/>
      <c r="R28" s="408"/>
      <c r="S28" s="95"/>
      <c r="T28" s="95"/>
      <c r="W28" s="397"/>
      <c r="X28" s="95"/>
      <c r="Y28" s="95"/>
    </row>
    <row r="29" spans="4:25" x14ac:dyDescent="0.25">
      <c r="P29" s="289"/>
      <c r="X29" s="95"/>
      <c r="Y29" s="95"/>
    </row>
    <row r="30" spans="4:25" x14ac:dyDescent="0.25">
      <c r="P30" s="289"/>
    </row>
    <row r="33" spans="5:16" x14ac:dyDescent="0.25">
      <c r="E33" s="46"/>
      <c r="F33" s="46"/>
      <c r="G33" s="427" t="s">
        <v>290</v>
      </c>
      <c r="H33" s="427" t="s">
        <v>269</v>
      </c>
      <c r="I33" s="427" t="s">
        <v>272</v>
      </c>
      <c r="J33" s="427" t="s">
        <v>270</v>
      </c>
      <c r="K33" s="427" t="s">
        <v>271</v>
      </c>
      <c r="L33" s="427" t="s">
        <v>43</v>
      </c>
      <c r="M33" s="427" t="s">
        <v>44</v>
      </c>
      <c r="N33" s="427" t="s">
        <v>65</v>
      </c>
      <c r="O33" s="427" t="s">
        <v>45</v>
      </c>
      <c r="P33" s="427" t="s">
        <v>46</v>
      </c>
    </row>
    <row r="34" spans="5:16" x14ac:dyDescent="0.25">
      <c r="E34" s="46" t="s">
        <v>291</v>
      </c>
      <c r="F34" s="46"/>
      <c r="G34" s="200">
        <v>93665</v>
      </c>
      <c r="H34" s="200">
        <f>G34/5</f>
        <v>18733</v>
      </c>
      <c r="I34" s="200">
        <f>H34/13</f>
        <v>1441</v>
      </c>
      <c r="J34" s="394">
        <v>322.93</v>
      </c>
      <c r="K34" s="394">
        <v>299.69</v>
      </c>
      <c r="L34" s="394">
        <v>313.32</v>
      </c>
      <c r="M34" s="394">
        <v>316.92</v>
      </c>
      <c r="N34" s="394">
        <v>309.83</v>
      </c>
      <c r="O34" s="394">
        <v>289.8</v>
      </c>
      <c r="P34" s="394">
        <v>266.82</v>
      </c>
    </row>
    <row r="35" spans="5:16" x14ac:dyDescent="0.25">
      <c r="E35" s="46" t="s">
        <v>244</v>
      </c>
      <c r="F35" s="46"/>
      <c r="G35" s="200"/>
      <c r="H35" s="200">
        <v>18920</v>
      </c>
      <c r="I35" s="200">
        <f>H35/13</f>
        <v>1455.3846153846155</v>
      </c>
      <c r="J35" s="394">
        <v>306.52999999999997</v>
      </c>
      <c r="K35" s="394">
        <v>299.69</v>
      </c>
      <c r="L35" s="46"/>
      <c r="M35" s="46"/>
      <c r="N35" s="46"/>
      <c r="O35" s="46"/>
      <c r="P35" s="46"/>
    </row>
  </sheetData>
  <phoneticPr fontId="5" type="noConversion"/>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0EDB6-1464-448A-9D09-ADE3133D2C3A}">
  <sheetPr>
    <tabColor rgb="FF00B0F0"/>
  </sheetPr>
  <dimension ref="B2:X59"/>
  <sheetViews>
    <sheetView showGridLines="0" topLeftCell="A16" workbookViewId="0">
      <selection activeCell="W41" sqref="W41"/>
    </sheetView>
  </sheetViews>
  <sheetFormatPr defaultColWidth="9.140625" defaultRowHeight="15" x14ac:dyDescent="0.25"/>
  <cols>
    <col min="1" max="1" width="9.140625" style="39"/>
    <col min="2" max="2" width="33" style="39" bestFit="1" customWidth="1"/>
    <col min="3" max="12" width="9.5703125" style="39" bestFit="1" customWidth="1"/>
    <col min="13" max="13" width="10.7109375" style="39" bestFit="1" customWidth="1"/>
    <col min="14" max="14" width="10.5703125" style="39" bestFit="1" customWidth="1"/>
    <col min="15" max="15" width="10.28515625" style="39" bestFit="1" customWidth="1"/>
    <col min="16" max="17" width="9.5703125" style="39" bestFit="1" customWidth="1"/>
    <col min="18" max="18" width="10.7109375" style="39" bestFit="1" customWidth="1"/>
    <col min="19" max="24" width="9.5703125" style="39" bestFit="1" customWidth="1"/>
    <col min="25" max="16384" width="9.140625" style="39"/>
  </cols>
  <sheetData>
    <row r="2" spans="2:24" x14ac:dyDescent="0.25">
      <c r="B2" s="39" t="e" vm="123">
        <v>#VALUE!</v>
      </c>
      <c r="H2" s="323"/>
    </row>
    <row r="3" spans="2:24" x14ac:dyDescent="0.25">
      <c r="B3" s="569"/>
      <c r="C3" s="387">
        <v>2021</v>
      </c>
      <c r="D3" s="570">
        <v>2020</v>
      </c>
      <c r="E3" s="571"/>
      <c r="F3" s="571"/>
      <c r="G3" s="572"/>
      <c r="H3" s="570">
        <v>2019</v>
      </c>
      <c r="I3" s="571"/>
      <c r="J3" s="571"/>
      <c r="K3" s="572"/>
      <c r="L3" s="570">
        <v>2018</v>
      </c>
      <c r="M3" s="571"/>
      <c r="N3" s="571"/>
      <c r="O3" s="572"/>
      <c r="P3" s="570">
        <v>2017</v>
      </c>
      <c r="Q3" s="571"/>
      <c r="R3" s="571"/>
      <c r="S3" s="572"/>
      <c r="T3" s="570">
        <v>2016</v>
      </c>
      <c r="U3" s="571"/>
      <c r="V3" s="571"/>
      <c r="W3" s="572"/>
      <c r="X3" s="387" t="s">
        <v>246</v>
      </c>
    </row>
    <row r="4" spans="2:24" x14ac:dyDescent="0.25">
      <c r="B4" s="568"/>
      <c r="C4" s="387" t="s">
        <v>244</v>
      </c>
      <c r="D4" s="387" t="s">
        <v>232</v>
      </c>
      <c r="E4" s="387" t="s">
        <v>231</v>
      </c>
      <c r="F4" s="387" t="s">
        <v>230</v>
      </c>
      <c r="G4" s="387" t="s">
        <v>229</v>
      </c>
      <c r="H4" s="387" t="s">
        <v>232</v>
      </c>
      <c r="I4" s="387" t="s">
        <v>231</v>
      </c>
      <c r="J4" s="387" t="s">
        <v>230</v>
      </c>
      <c r="K4" s="387" t="s">
        <v>229</v>
      </c>
      <c r="L4" s="387" t="s">
        <v>232</v>
      </c>
      <c r="M4" s="387" t="s">
        <v>231</v>
      </c>
      <c r="N4" s="387" t="s">
        <v>230</v>
      </c>
      <c r="O4" s="387" t="s">
        <v>229</v>
      </c>
      <c r="P4" s="387" t="s">
        <v>232</v>
      </c>
      <c r="Q4" s="387" t="s">
        <v>231</v>
      </c>
      <c r="R4" s="387" t="s">
        <v>230</v>
      </c>
      <c r="S4" s="387" t="s">
        <v>229</v>
      </c>
      <c r="T4" s="387" t="s">
        <v>232</v>
      </c>
      <c r="U4" s="387" t="s">
        <v>231</v>
      </c>
      <c r="V4" s="387" t="s">
        <v>230</v>
      </c>
      <c r="W4" s="387" t="s">
        <v>229</v>
      </c>
      <c r="X4" s="387"/>
    </row>
    <row r="5" spans="2:24" x14ac:dyDescent="0.25">
      <c r="B5" s="46" t="s">
        <v>233</v>
      </c>
      <c r="C5" s="388" cm="1">
        <f t="array" ref="C5">_FV(B2,"Price")</f>
        <v>223.59</v>
      </c>
      <c r="D5" s="388">
        <v>273.16000000000003</v>
      </c>
      <c r="E5" s="388">
        <v>261.89999999999998</v>
      </c>
      <c r="F5" s="388">
        <v>227.07</v>
      </c>
      <c r="G5" s="388">
        <v>166.8</v>
      </c>
      <c r="H5" s="388">
        <v>205.25</v>
      </c>
      <c r="I5" s="388">
        <v>178.08</v>
      </c>
      <c r="J5" s="388">
        <v>193</v>
      </c>
      <c r="K5" s="388">
        <v>166.69</v>
      </c>
      <c r="L5" s="388">
        <v>131.09</v>
      </c>
      <c r="M5" s="388">
        <v>164.46</v>
      </c>
      <c r="N5" s="388">
        <v>194.32</v>
      </c>
      <c r="O5" s="388">
        <v>159.79</v>
      </c>
      <c r="P5" s="388">
        <v>176.46</v>
      </c>
      <c r="Q5" s="388">
        <v>170.87</v>
      </c>
      <c r="R5" s="388">
        <v>150.97999999999999</v>
      </c>
      <c r="S5" s="388">
        <v>142.05000000000001</v>
      </c>
      <c r="T5" s="388">
        <v>115.05</v>
      </c>
      <c r="U5" s="388">
        <v>128.27000000000001</v>
      </c>
      <c r="V5" s="388">
        <v>114.28</v>
      </c>
      <c r="W5" s="388">
        <v>114.1</v>
      </c>
      <c r="X5" s="46"/>
    </row>
    <row r="6" spans="2:24" x14ac:dyDescent="0.25">
      <c r="B6" s="46" t="s">
        <v>236</v>
      </c>
      <c r="C6" s="388" cm="1">
        <f t="array" ref="C6">_FV(B2,"Shares outstanding",TRUE)/1000000</f>
        <v>2721.942</v>
      </c>
      <c r="D6" s="388">
        <v>2888</v>
      </c>
      <c r="E6" s="388">
        <v>2891</v>
      </c>
      <c r="F6" s="388">
        <v>2879</v>
      </c>
      <c r="G6" s="388">
        <v>2868</v>
      </c>
      <c r="H6" s="388">
        <v>2876</v>
      </c>
      <c r="I6" s="388">
        <v>2874</v>
      </c>
      <c r="J6" s="388">
        <v>2875</v>
      </c>
      <c r="K6" s="388">
        <v>2869</v>
      </c>
      <c r="L6" s="388">
        <v>2921</v>
      </c>
      <c r="M6" s="388">
        <v>2913</v>
      </c>
      <c r="N6" s="388">
        <v>2930</v>
      </c>
      <c r="O6" s="388">
        <v>2945</v>
      </c>
      <c r="P6" s="388">
        <v>2956</v>
      </c>
      <c r="Q6" s="388">
        <v>2956</v>
      </c>
      <c r="R6" s="388">
        <v>2951</v>
      </c>
      <c r="S6" s="388">
        <v>2944</v>
      </c>
      <c r="T6" s="388">
        <v>2925</v>
      </c>
      <c r="U6" s="388">
        <v>2931</v>
      </c>
      <c r="V6" s="388">
        <v>2921</v>
      </c>
      <c r="W6" s="388">
        <v>2905</v>
      </c>
      <c r="X6" s="389">
        <f>AVERAGE(D6:W6)</f>
        <v>2910.9</v>
      </c>
    </row>
    <row r="7" spans="2:24" x14ac:dyDescent="0.25">
      <c r="B7" s="151" t="s">
        <v>222</v>
      </c>
      <c r="C7" s="390">
        <f>C5*C6/1000</f>
        <v>608.59901178000007</v>
      </c>
      <c r="D7" s="390">
        <f>D5*D6/1000</f>
        <v>788.88608000000011</v>
      </c>
      <c r="E7" s="390">
        <f t="shared" ref="E7:W7" si="0">E5*E6/1000</f>
        <v>757.15289999999993</v>
      </c>
      <c r="F7" s="390">
        <f t="shared" si="0"/>
        <v>653.73453000000006</v>
      </c>
      <c r="G7" s="390">
        <f t="shared" si="0"/>
        <v>478.38240000000002</v>
      </c>
      <c r="H7" s="390">
        <f t="shared" si="0"/>
        <v>590.29899999999998</v>
      </c>
      <c r="I7" s="390">
        <f t="shared" si="0"/>
        <v>511.80192000000005</v>
      </c>
      <c r="J7" s="390">
        <f t="shared" si="0"/>
        <v>554.875</v>
      </c>
      <c r="K7" s="390">
        <f t="shared" si="0"/>
        <v>478.23361</v>
      </c>
      <c r="L7" s="390">
        <f t="shared" si="0"/>
        <v>382.91389000000004</v>
      </c>
      <c r="M7" s="390">
        <f t="shared" si="0"/>
        <v>479.07198000000005</v>
      </c>
      <c r="N7" s="390">
        <f t="shared" si="0"/>
        <v>569.35759999999993</v>
      </c>
      <c r="O7" s="390">
        <f t="shared" si="0"/>
        <v>470.58154999999999</v>
      </c>
      <c r="P7" s="390">
        <f t="shared" si="0"/>
        <v>521.61576000000002</v>
      </c>
      <c r="Q7" s="390">
        <f t="shared" si="0"/>
        <v>505.09172000000001</v>
      </c>
      <c r="R7" s="390">
        <f t="shared" si="0"/>
        <v>445.54197999999997</v>
      </c>
      <c r="S7" s="390">
        <f t="shared" si="0"/>
        <v>418.1952</v>
      </c>
      <c r="T7" s="390">
        <f t="shared" si="0"/>
        <v>336.52125000000001</v>
      </c>
      <c r="U7" s="390">
        <f t="shared" si="0"/>
        <v>375.95937000000004</v>
      </c>
      <c r="V7" s="390">
        <f t="shared" si="0"/>
        <v>333.81188000000003</v>
      </c>
      <c r="W7" s="390">
        <f t="shared" si="0"/>
        <v>331.46050000000002</v>
      </c>
      <c r="X7" s="151"/>
    </row>
    <row r="8" spans="2:24" x14ac:dyDescent="0.25">
      <c r="B8" s="96"/>
      <c r="C8" s="391"/>
      <c r="D8" s="391"/>
      <c r="E8" s="391"/>
      <c r="F8" s="391"/>
      <c r="G8" s="391"/>
      <c r="H8" s="391"/>
      <c r="I8" s="391"/>
      <c r="J8" s="391"/>
      <c r="K8" s="391"/>
      <c r="L8" s="391"/>
      <c r="M8" s="391"/>
      <c r="N8" s="391"/>
      <c r="O8" s="391"/>
      <c r="P8" s="391"/>
      <c r="Q8" s="391"/>
      <c r="R8" s="391"/>
      <c r="S8" s="391"/>
      <c r="T8" s="391"/>
      <c r="U8" s="391"/>
      <c r="V8" s="391"/>
      <c r="W8" s="391"/>
      <c r="X8" s="199"/>
    </row>
    <row r="9" spans="2:24" x14ac:dyDescent="0.25">
      <c r="B9" s="51" t="s">
        <v>249</v>
      </c>
      <c r="C9" s="392"/>
      <c r="D9" s="392">
        <v>85.97</v>
      </c>
      <c r="E9" s="392">
        <v>78.98</v>
      </c>
      <c r="F9" s="392">
        <v>75.16</v>
      </c>
      <c r="G9" s="392">
        <v>73.36</v>
      </c>
      <c r="H9" s="392">
        <v>70.7</v>
      </c>
      <c r="I9" s="392">
        <v>66.53</v>
      </c>
      <c r="J9" s="392">
        <v>62.6</v>
      </c>
      <c r="K9" s="392">
        <v>58.95</v>
      </c>
      <c r="L9" s="392">
        <v>55.84</v>
      </c>
      <c r="M9" s="392">
        <v>51.9</v>
      </c>
      <c r="N9" s="392">
        <v>48.5</v>
      </c>
      <c r="O9" s="392">
        <v>44.59</v>
      </c>
      <c r="P9" s="392">
        <v>40.65</v>
      </c>
      <c r="Q9" s="392">
        <v>36.49</v>
      </c>
      <c r="R9" s="392">
        <v>33.17</v>
      </c>
      <c r="S9" s="392">
        <v>30.29</v>
      </c>
      <c r="T9" s="392">
        <v>27.64</v>
      </c>
      <c r="U9" s="392">
        <v>24.67</v>
      </c>
      <c r="V9" s="392">
        <v>22.16</v>
      </c>
      <c r="W9" s="392">
        <v>19.77</v>
      </c>
      <c r="X9" s="51"/>
    </row>
    <row r="10" spans="2:24" x14ac:dyDescent="0.25">
      <c r="B10" s="51"/>
      <c r="C10" s="392"/>
      <c r="D10" s="393">
        <f>(D9-E9)/E9</f>
        <v>8.8503418586983976E-2</v>
      </c>
      <c r="E10" s="393">
        <f t="shared" ref="E10:V10" si="1">(E9-F9)/F9</f>
        <v>5.0824906865354014E-2</v>
      </c>
      <c r="F10" s="393">
        <f t="shared" si="1"/>
        <v>2.4536532170119918E-2</v>
      </c>
      <c r="G10" s="393">
        <f t="shared" si="1"/>
        <v>3.7623762376237574E-2</v>
      </c>
      <c r="H10" s="393">
        <f t="shared" si="1"/>
        <v>6.2678490906358061E-2</v>
      </c>
      <c r="I10" s="393">
        <f t="shared" si="1"/>
        <v>6.277955271565494E-2</v>
      </c>
      <c r="J10" s="393">
        <f t="shared" si="1"/>
        <v>6.1916878710771811E-2</v>
      </c>
      <c r="K10" s="393">
        <f t="shared" si="1"/>
        <v>5.5694842406876777E-2</v>
      </c>
      <c r="L10" s="393">
        <f t="shared" si="1"/>
        <v>7.5915221579961556E-2</v>
      </c>
      <c r="M10" s="393">
        <f t="shared" si="1"/>
        <v>7.0103092783505128E-2</v>
      </c>
      <c r="N10" s="393">
        <f t="shared" si="1"/>
        <v>8.7687822381699851E-2</v>
      </c>
      <c r="O10" s="393">
        <f t="shared" si="1"/>
        <v>9.6924969249692614E-2</v>
      </c>
      <c r="P10" s="393">
        <f t="shared" si="1"/>
        <v>0.11400383666758006</v>
      </c>
      <c r="Q10" s="393">
        <f t="shared" si="1"/>
        <v>0.10009044317154055</v>
      </c>
      <c r="R10" s="393">
        <f t="shared" si="1"/>
        <v>9.5080884780455677E-2</v>
      </c>
      <c r="S10" s="393">
        <f t="shared" si="1"/>
        <v>9.5875542691751026E-2</v>
      </c>
      <c r="T10" s="393">
        <f t="shared" si="1"/>
        <v>0.12038913660316168</v>
      </c>
      <c r="U10" s="393">
        <f t="shared" si="1"/>
        <v>0.1132671480144405</v>
      </c>
      <c r="V10" s="393">
        <f t="shared" si="1"/>
        <v>0.12089023773394035</v>
      </c>
      <c r="W10" s="392"/>
      <c r="X10" s="63">
        <f>AVERAGE(D10:V10)</f>
        <v>8.0778248441899264E-2</v>
      </c>
    </row>
    <row r="11" spans="2:24" x14ac:dyDescent="0.25">
      <c r="B11" s="46" t="s">
        <v>234</v>
      </c>
      <c r="C11" s="388"/>
      <c r="D11" s="388">
        <v>69.27</v>
      </c>
      <c r="E11" s="388">
        <v>64</v>
      </c>
      <c r="F11" s="388">
        <v>61.22</v>
      </c>
      <c r="G11" s="388">
        <v>29.94</v>
      </c>
      <c r="H11" s="388">
        <v>57.93</v>
      </c>
      <c r="I11" s="388">
        <v>54.46</v>
      </c>
      <c r="J11" s="388">
        <v>51.27</v>
      </c>
      <c r="K11" s="388">
        <v>48.71</v>
      </c>
      <c r="L11" s="388">
        <v>46.48</v>
      </c>
      <c r="M11" s="388">
        <v>43.73</v>
      </c>
      <c r="N11" s="388">
        <v>41.3</v>
      </c>
      <c r="O11" s="388">
        <v>38.369999999999997</v>
      </c>
      <c r="P11" s="388">
        <v>35.200000000000003</v>
      </c>
      <c r="Q11" s="388">
        <v>31.6</v>
      </c>
      <c r="R11" s="388">
        <v>28.74</v>
      </c>
      <c r="S11" s="388">
        <v>26.18</v>
      </c>
      <c r="T11" s="388">
        <v>23.85</v>
      </c>
      <c r="U11" s="388">
        <v>21.1</v>
      </c>
      <c r="V11" s="388">
        <v>18.86</v>
      </c>
      <c r="W11" s="388">
        <v>16.72</v>
      </c>
      <c r="X11" s="46"/>
    </row>
    <row r="12" spans="2:24" x14ac:dyDescent="0.25">
      <c r="B12" s="46" t="s">
        <v>235</v>
      </c>
      <c r="C12" s="388"/>
      <c r="D12" s="388">
        <v>61.95</v>
      </c>
      <c r="E12" s="388">
        <v>55.62</v>
      </c>
      <c r="F12" s="388">
        <v>58.24</v>
      </c>
      <c r="G12" s="388">
        <v>60.29</v>
      </c>
      <c r="H12" s="388">
        <v>54.86</v>
      </c>
      <c r="I12" s="388">
        <v>52.27</v>
      </c>
      <c r="J12" s="388">
        <v>48.6</v>
      </c>
      <c r="K12" s="388">
        <v>45.24</v>
      </c>
      <c r="L12" s="388">
        <v>41.11</v>
      </c>
      <c r="M12" s="388">
        <v>41.21</v>
      </c>
      <c r="N12" s="388">
        <v>42.31</v>
      </c>
      <c r="O12" s="388">
        <v>43.96</v>
      </c>
      <c r="P12" s="388">
        <v>41.71</v>
      </c>
      <c r="Q12" s="388">
        <v>38.29</v>
      </c>
      <c r="R12" s="388">
        <v>35.450000000000003</v>
      </c>
      <c r="S12" s="388">
        <v>32.31</v>
      </c>
      <c r="T12" s="388">
        <v>29.45</v>
      </c>
      <c r="U12" s="388">
        <v>26.14</v>
      </c>
      <c r="V12" s="388">
        <v>23.29</v>
      </c>
      <c r="W12" s="388">
        <v>20.62</v>
      </c>
      <c r="X12" s="46"/>
    </row>
    <row r="13" spans="2:24" x14ac:dyDescent="0.25">
      <c r="B13" s="46" t="s">
        <v>239</v>
      </c>
      <c r="C13" s="388"/>
      <c r="D13" s="63">
        <v>0.80579999999999996</v>
      </c>
      <c r="E13" s="63">
        <v>0.81040000000000001</v>
      </c>
      <c r="F13" s="63">
        <v>0.81459999999999999</v>
      </c>
      <c r="G13" s="63">
        <v>0.81720000000000004</v>
      </c>
      <c r="H13" s="63">
        <v>0.81940000000000002</v>
      </c>
      <c r="I13" s="63">
        <v>0.81850000000000001</v>
      </c>
      <c r="J13" s="63">
        <v>0.81889999999999996</v>
      </c>
      <c r="K13" s="63">
        <v>0.82620000000000005</v>
      </c>
      <c r="L13" s="63">
        <v>0.83250000000000002</v>
      </c>
      <c r="M13" s="63">
        <v>0.84260000000000002</v>
      </c>
      <c r="N13" s="63">
        <v>0.85160000000000002</v>
      </c>
      <c r="O13" s="63">
        <v>0.86050000000000004</v>
      </c>
      <c r="P13" s="63">
        <v>0.86580000000000001</v>
      </c>
      <c r="Q13" s="63">
        <v>0.86599999999999999</v>
      </c>
      <c r="R13" s="63">
        <v>0.86650000000000005</v>
      </c>
      <c r="S13" s="63">
        <v>0.86429999999999996</v>
      </c>
      <c r="T13" s="63">
        <v>0.8629</v>
      </c>
      <c r="U13" s="63">
        <v>0.85540000000000005</v>
      </c>
      <c r="V13" s="63">
        <v>0.85109999999999997</v>
      </c>
      <c r="W13" s="63">
        <v>0.84570000000000001</v>
      </c>
      <c r="X13" s="63">
        <f t="shared" ref="X13:X15" si="2">AVERAGE(D13:W13)</f>
        <v>0.83979499999999996</v>
      </c>
    </row>
    <row r="14" spans="2:24" x14ac:dyDescent="0.25">
      <c r="B14" s="46" t="s">
        <v>247</v>
      </c>
      <c r="C14" s="388"/>
      <c r="D14" s="63">
        <v>0.38009999999999999</v>
      </c>
      <c r="E14" s="63">
        <v>0.36409999999999998</v>
      </c>
      <c r="F14" s="63">
        <v>0.37119999999999997</v>
      </c>
      <c r="G14" s="63">
        <v>0.36209999999999998</v>
      </c>
      <c r="H14" s="63">
        <v>0.33929999999999999</v>
      </c>
      <c r="I14" s="63">
        <v>0.34489999999999998</v>
      </c>
      <c r="J14" s="63">
        <v>0.34410000000000002</v>
      </c>
      <c r="K14" s="63">
        <v>0.38650000000000001</v>
      </c>
      <c r="L14" s="63">
        <v>0.44619999999999999</v>
      </c>
      <c r="M14" s="63">
        <v>0.47110000000000002</v>
      </c>
      <c r="N14" s="63">
        <v>0.49049999999999999</v>
      </c>
      <c r="O14" s="63">
        <v>0.50070000000000003</v>
      </c>
      <c r="P14" s="63">
        <v>0.497</v>
      </c>
      <c r="Q14" s="63">
        <v>0.4773</v>
      </c>
      <c r="R14" s="63">
        <v>0.46460000000000001</v>
      </c>
      <c r="S14" s="63">
        <v>0.45379999999999998</v>
      </c>
      <c r="T14" s="63">
        <v>0.4496</v>
      </c>
      <c r="U14" s="63">
        <v>0.4224</v>
      </c>
      <c r="V14" s="63">
        <v>0.39539999999999997</v>
      </c>
      <c r="W14" s="63">
        <v>0.36940000000000001</v>
      </c>
      <c r="X14" s="63">
        <f t="shared" si="2"/>
        <v>0.41651499999999997</v>
      </c>
    </row>
    <row r="15" spans="2:24" x14ac:dyDescent="0.25">
      <c r="B15" s="46" t="s">
        <v>248</v>
      </c>
      <c r="C15" s="388"/>
      <c r="D15" s="63">
        <v>0.33900000000000002</v>
      </c>
      <c r="E15" s="63">
        <v>0.32</v>
      </c>
      <c r="F15" s="63">
        <v>0.31290000000000001</v>
      </c>
      <c r="G15" s="63">
        <v>0.28570000000000001</v>
      </c>
      <c r="H15" s="63">
        <v>0.26150000000000001</v>
      </c>
      <c r="I15" s="63">
        <v>0.27079999999999999</v>
      </c>
      <c r="J15" s="63">
        <v>0.27260000000000001</v>
      </c>
      <c r="K15" s="63">
        <v>0.33169999999999999</v>
      </c>
      <c r="L15" s="63">
        <v>0.39600000000000002</v>
      </c>
      <c r="M15" s="63">
        <v>0.37569999999999998</v>
      </c>
      <c r="N15" s="63">
        <v>0.3931</v>
      </c>
      <c r="O15" s="63">
        <v>0.40029999999999999</v>
      </c>
      <c r="P15" s="63">
        <v>0.3916</v>
      </c>
      <c r="Q15" s="63">
        <v>0.41689999999999999</v>
      </c>
      <c r="R15" s="63">
        <v>0.39579999999999999</v>
      </c>
      <c r="S15" s="63">
        <v>0.38019999999999998</v>
      </c>
      <c r="T15" s="63">
        <v>0.36859999999999998</v>
      </c>
      <c r="U15" s="63">
        <v>0.33160000000000001</v>
      </c>
      <c r="V15" s="63">
        <v>0.29120000000000001</v>
      </c>
      <c r="W15" s="63">
        <v>0.2475</v>
      </c>
      <c r="X15" s="63">
        <f t="shared" si="2"/>
        <v>0.33913500000000002</v>
      </c>
    </row>
    <row r="16" spans="2:24" x14ac:dyDescent="0.25">
      <c r="B16" s="96"/>
      <c r="C16" s="391"/>
      <c r="D16" s="391"/>
      <c r="E16" s="391"/>
      <c r="F16" s="391"/>
      <c r="G16" s="391"/>
      <c r="H16" s="391"/>
      <c r="I16" s="391"/>
      <c r="J16" s="391"/>
      <c r="K16" s="391"/>
      <c r="L16" s="391"/>
      <c r="M16" s="391"/>
      <c r="N16" s="391"/>
      <c r="O16" s="391"/>
      <c r="P16" s="391"/>
      <c r="Q16" s="391"/>
      <c r="R16" s="391"/>
      <c r="S16" s="391"/>
      <c r="T16" s="391"/>
      <c r="U16" s="391"/>
      <c r="V16" s="391"/>
      <c r="W16" s="391"/>
      <c r="X16" s="199"/>
    </row>
    <row r="17" spans="2:24" x14ac:dyDescent="0.25">
      <c r="B17" s="46" t="s">
        <v>237</v>
      </c>
      <c r="C17" s="388"/>
      <c r="D17" s="388">
        <v>5.05</v>
      </c>
      <c r="E17" s="388">
        <v>5.51</v>
      </c>
      <c r="F17" s="388">
        <v>6.02</v>
      </c>
      <c r="G17" s="388">
        <v>4.5999999999999996</v>
      </c>
      <c r="H17" s="388">
        <v>4.4000000000000004</v>
      </c>
      <c r="I17" s="388">
        <v>4.66</v>
      </c>
      <c r="J17" s="388">
        <v>4.47</v>
      </c>
      <c r="K17" s="388">
        <v>5.38</v>
      </c>
      <c r="L17" s="388">
        <v>7.19</v>
      </c>
      <c r="M17" s="388">
        <v>9</v>
      </c>
      <c r="N17" s="388">
        <v>10.67</v>
      </c>
      <c r="O17" s="388">
        <v>9.91</v>
      </c>
      <c r="P17" s="388">
        <v>12.92</v>
      </c>
      <c r="Q17" s="388">
        <v>13.37</v>
      </c>
      <c r="R17" s="388">
        <v>12.31</v>
      </c>
      <c r="S17" s="388">
        <v>12.61</v>
      </c>
      <c r="T17" s="388">
        <v>11.97</v>
      </c>
      <c r="U17" s="388">
        <v>11.69</v>
      </c>
      <c r="V17" s="388">
        <v>12.22</v>
      </c>
      <c r="W17" s="388">
        <v>13.16</v>
      </c>
      <c r="X17" s="46"/>
    </row>
    <row r="18" spans="2:24" x14ac:dyDescent="0.25">
      <c r="B18" s="46" t="s">
        <v>238</v>
      </c>
      <c r="C18" s="388"/>
      <c r="D18" s="388">
        <v>0.24</v>
      </c>
      <c r="E18" s="388">
        <v>0.24</v>
      </c>
      <c r="F18" s="388">
        <v>0.26</v>
      </c>
      <c r="G18" s="388">
        <v>0.31</v>
      </c>
      <c r="H18" s="388">
        <v>0.32</v>
      </c>
      <c r="I18" s="388">
        <v>0.32</v>
      </c>
      <c r="J18" s="388">
        <v>0.32</v>
      </c>
      <c r="K18" s="388">
        <v>0.27</v>
      </c>
      <c r="L18" s="388">
        <v>0.16</v>
      </c>
      <c r="M18" s="388">
        <v>0.15</v>
      </c>
      <c r="N18" s="388">
        <v>0.14000000000000001</v>
      </c>
      <c r="O18" s="388">
        <v>0.15</v>
      </c>
      <c r="P18" s="388">
        <v>0.14000000000000001</v>
      </c>
      <c r="Q18" s="388">
        <v>0.11</v>
      </c>
      <c r="R18" s="388">
        <v>0.11</v>
      </c>
      <c r="S18" s="388">
        <v>0.1</v>
      </c>
      <c r="T18" s="388">
        <v>0.1</v>
      </c>
      <c r="U18" s="388">
        <v>0.1</v>
      </c>
      <c r="V18" s="388">
        <v>0.11</v>
      </c>
      <c r="W18" s="388">
        <v>0.1</v>
      </c>
      <c r="X18" s="46"/>
    </row>
    <row r="19" spans="2:24" x14ac:dyDescent="0.25">
      <c r="B19" s="46" t="s">
        <v>240</v>
      </c>
      <c r="C19" s="388" cm="1">
        <f t="array" ref="C19">_FV(B2,"P/E",TRUE)</f>
        <v>16.210699999999999</v>
      </c>
      <c r="D19" s="388">
        <f t="shared" ref="D19:W19" si="3">D5/D22</f>
        <v>27.072348860257684</v>
      </c>
      <c r="E19" s="388">
        <f t="shared" si="3"/>
        <v>29.863169897377421</v>
      </c>
      <c r="F19" s="388">
        <f t="shared" si="3"/>
        <v>27.75916870415648</v>
      </c>
      <c r="G19" s="388">
        <f t="shared" si="3"/>
        <v>22.880658436213992</v>
      </c>
      <c r="H19" s="388">
        <f t="shared" si="3"/>
        <v>31.920684292379473</v>
      </c>
      <c r="I19" s="388">
        <f t="shared" si="3"/>
        <v>28.447284345047926</v>
      </c>
      <c r="J19" s="388">
        <f t="shared" si="3"/>
        <v>32.711864406779661</v>
      </c>
      <c r="K19" s="388">
        <f t="shared" si="3"/>
        <v>24.768202080237739</v>
      </c>
      <c r="L19" s="388">
        <f t="shared" si="3"/>
        <v>17.317040951122852</v>
      </c>
      <c r="M19" s="388">
        <f t="shared" si="3"/>
        <v>24.805429864253394</v>
      </c>
      <c r="N19" s="388">
        <f t="shared" si="3"/>
        <v>30.080495356037151</v>
      </c>
      <c r="O19" s="388">
        <f t="shared" si="3"/>
        <v>26.455298013245031</v>
      </c>
      <c r="P19" s="388">
        <f t="shared" si="3"/>
        <v>32.738404452690169</v>
      </c>
      <c r="Q19" s="388">
        <f t="shared" si="3"/>
        <v>33.11434108527132</v>
      </c>
      <c r="R19" s="388">
        <f t="shared" si="3"/>
        <v>33.776286353467562</v>
      </c>
      <c r="S19" s="388">
        <f t="shared" si="3"/>
        <v>36.145038167938935</v>
      </c>
      <c r="T19" s="388">
        <f t="shared" si="3"/>
        <v>32.965616045845266</v>
      </c>
      <c r="U19" s="388">
        <f t="shared" si="3"/>
        <v>45.325088339222617</v>
      </c>
      <c r="V19" s="388">
        <f t="shared" si="3"/>
        <v>51.017857142857139</v>
      </c>
      <c r="W19" s="388">
        <f t="shared" si="3"/>
        <v>66.725146198830402</v>
      </c>
      <c r="X19" s="389">
        <f>AVERAGE(D19:W19)</f>
        <v>32.794471149661618</v>
      </c>
    </row>
    <row r="20" spans="2:24" x14ac:dyDescent="0.25">
      <c r="B20" s="46" t="s">
        <v>241</v>
      </c>
      <c r="C20" s="388"/>
      <c r="D20" s="388">
        <v>9.16</v>
      </c>
      <c r="E20" s="388">
        <v>9.5500000000000007</v>
      </c>
      <c r="F20" s="388">
        <v>8.68</v>
      </c>
      <c r="G20" s="388">
        <v>6.53</v>
      </c>
      <c r="H20" s="388">
        <v>8.34</v>
      </c>
      <c r="I20" s="388">
        <v>7.72</v>
      </c>
      <c r="J20" s="388">
        <v>8.92</v>
      </c>
      <c r="K20" s="388">
        <v>8.2200000000000006</v>
      </c>
      <c r="L20" s="388">
        <v>6.87</v>
      </c>
      <c r="M20" s="388">
        <v>9.3000000000000007</v>
      </c>
      <c r="N20" s="388">
        <v>11.8</v>
      </c>
      <c r="O20" s="388">
        <v>10.58</v>
      </c>
      <c r="P20" s="388">
        <v>12.82</v>
      </c>
      <c r="Q20" s="388">
        <v>13.79</v>
      </c>
      <c r="R20" s="388">
        <v>13.37</v>
      </c>
      <c r="S20" s="388">
        <v>13.74</v>
      </c>
      <c r="T20" s="388">
        <v>12.16</v>
      </c>
      <c r="U20" s="388">
        <v>15.1</v>
      </c>
      <c r="V20" s="388">
        <v>14.89</v>
      </c>
      <c r="W20" s="388">
        <v>16.559999999999999</v>
      </c>
      <c r="X20" s="389">
        <f>AVERAGE(D20:W20)</f>
        <v>10.905000000000001</v>
      </c>
    </row>
    <row r="21" spans="2:24" x14ac:dyDescent="0.25">
      <c r="B21" s="46" t="s">
        <v>242</v>
      </c>
      <c r="C21" s="388"/>
      <c r="D21" s="388">
        <v>6.15</v>
      </c>
      <c r="E21" s="388">
        <v>6.43</v>
      </c>
      <c r="F21" s="388">
        <v>5.92</v>
      </c>
      <c r="G21" s="388">
        <v>4.54</v>
      </c>
      <c r="H21" s="388">
        <v>5.84</v>
      </c>
      <c r="I21" s="388">
        <v>5.44</v>
      </c>
      <c r="J21" s="388">
        <v>6.25</v>
      </c>
      <c r="K21" s="388">
        <v>5.53</v>
      </c>
      <c r="L21" s="388">
        <v>4.55</v>
      </c>
      <c r="M21" s="388">
        <v>5.96</v>
      </c>
      <c r="N21" s="388">
        <v>7.17</v>
      </c>
      <c r="O21" s="388">
        <v>6.06</v>
      </c>
      <c r="P21" s="388">
        <v>7.02</v>
      </c>
      <c r="Q21" s="388">
        <v>7.09</v>
      </c>
      <c r="R21" s="388">
        <v>6.7</v>
      </c>
      <c r="S21" s="388">
        <v>6.72</v>
      </c>
      <c r="T21" s="388">
        <v>5.69</v>
      </c>
      <c r="U21" s="388">
        <v>6.95</v>
      </c>
      <c r="V21" s="388">
        <v>6.63</v>
      </c>
      <c r="W21" s="388">
        <v>7.03</v>
      </c>
      <c r="X21" s="389">
        <f>AVERAGE(D21:W21)</f>
        <v>6.1835000000000004</v>
      </c>
    </row>
    <row r="22" spans="2:24" x14ac:dyDescent="0.25">
      <c r="B22" s="46" t="s">
        <v>243</v>
      </c>
      <c r="C22" s="388"/>
      <c r="D22" s="388">
        <v>10.09</v>
      </c>
      <c r="E22" s="388">
        <v>8.77</v>
      </c>
      <c r="F22" s="388">
        <v>8.18</v>
      </c>
      <c r="G22" s="388">
        <v>7.29</v>
      </c>
      <c r="H22" s="388">
        <v>6.43</v>
      </c>
      <c r="I22" s="388">
        <v>6.26</v>
      </c>
      <c r="J22" s="388">
        <v>5.9</v>
      </c>
      <c r="K22" s="388">
        <v>6.73</v>
      </c>
      <c r="L22" s="388">
        <v>7.57</v>
      </c>
      <c r="M22" s="388">
        <v>6.63</v>
      </c>
      <c r="N22" s="388">
        <v>6.46</v>
      </c>
      <c r="O22" s="388">
        <v>6.04</v>
      </c>
      <c r="P22" s="388">
        <v>5.39</v>
      </c>
      <c r="Q22" s="388">
        <v>5.16</v>
      </c>
      <c r="R22" s="388">
        <v>4.47</v>
      </c>
      <c r="S22" s="388">
        <v>3.93</v>
      </c>
      <c r="T22" s="388">
        <v>3.49</v>
      </c>
      <c r="U22" s="388">
        <v>2.83</v>
      </c>
      <c r="V22" s="388">
        <v>2.2400000000000002</v>
      </c>
      <c r="W22" s="388">
        <v>1.71</v>
      </c>
      <c r="X22" s="46"/>
    </row>
    <row r="23" spans="2:24" x14ac:dyDescent="0.25">
      <c r="B23" s="46" t="s">
        <v>245</v>
      </c>
      <c r="C23" s="46"/>
      <c r="D23" s="63">
        <v>0.2525</v>
      </c>
      <c r="E23" s="63">
        <v>0.23269999999999999</v>
      </c>
      <c r="F23" s="63">
        <v>0.22900000000000001</v>
      </c>
      <c r="G23" s="63">
        <v>0.21540000000000001</v>
      </c>
      <c r="H23" s="63">
        <v>0.19969999999999999</v>
      </c>
      <c r="I23" s="63">
        <v>0.2039</v>
      </c>
      <c r="J23" s="63">
        <v>0.2009</v>
      </c>
      <c r="K23" s="63">
        <v>0.23669999999999999</v>
      </c>
      <c r="L23" s="63">
        <v>0.27510000000000001</v>
      </c>
      <c r="M23" s="63">
        <v>0.25019999999999998</v>
      </c>
      <c r="N23" s="63">
        <v>0.252</v>
      </c>
      <c r="O23" s="63">
        <v>0.2465</v>
      </c>
      <c r="P23" s="63">
        <v>0.23219999999999999</v>
      </c>
      <c r="Q23" s="63">
        <v>0.2349</v>
      </c>
      <c r="R23" s="63">
        <v>0.217</v>
      </c>
      <c r="S23" s="63">
        <v>0.2039</v>
      </c>
      <c r="T23" s="63">
        <v>0.1933</v>
      </c>
      <c r="U23" s="63">
        <v>0.1671</v>
      </c>
      <c r="V23" s="63">
        <v>0.1409</v>
      </c>
      <c r="W23" s="63">
        <v>0.11360000000000001</v>
      </c>
      <c r="X23" s="63">
        <f>AVERAGE(D23:W23)</f>
        <v>0.21487500000000001</v>
      </c>
    </row>
    <row r="25" spans="2:24" x14ac:dyDescent="0.25">
      <c r="B25" s="46" t="e" vm="135">
        <v>#VALUE!</v>
      </c>
      <c r="C25" s="200" cm="1">
        <f t="array" ref="C25">_FV(B25,"Price")</f>
        <v>14354.902</v>
      </c>
      <c r="D25" s="200">
        <v>12888</v>
      </c>
      <c r="E25" s="200">
        <v>11052</v>
      </c>
      <c r="F25" s="200">
        <v>10905</v>
      </c>
      <c r="G25" s="200">
        <v>9000</v>
      </c>
      <c r="H25" s="200">
        <v>8991</v>
      </c>
      <c r="I25" s="200">
        <v>8151</v>
      </c>
      <c r="J25" s="200">
        <v>8174</v>
      </c>
      <c r="K25" s="200">
        <v>7953</v>
      </c>
      <c r="L25" s="200">
        <v>6907</v>
      </c>
      <c r="M25" s="200">
        <v>8336</v>
      </c>
      <c r="N25" s="200">
        <v>7795</v>
      </c>
      <c r="O25" s="200">
        <v>7402</v>
      </c>
      <c r="P25" s="200">
        <v>7324</v>
      </c>
      <c r="Q25" s="200">
        <v>6885</v>
      </c>
      <c r="R25" s="200">
        <v>6557</v>
      </c>
      <c r="S25" s="200">
        <v>6343</v>
      </c>
      <c r="T25" s="200">
        <v>5829</v>
      </c>
      <c r="U25" s="200">
        <v>5752</v>
      </c>
      <c r="V25" s="200">
        <v>5254</v>
      </c>
      <c r="W25" s="200">
        <v>5347</v>
      </c>
      <c r="X25" s="46"/>
    </row>
    <row r="26" spans="2:24" x14ac:dyDescent="0.25">
      <c r="C26" s="39">
        <v>25.1</v>
      </c>
      <c r="D26" s="39">
        <v>23.8</v>
      </c>
      <c r="W26" s="39">
        <v>20.02</v>
      </c>
    </row>
    <row r="29" spans="2:24" x14ac:dyDescent="0.25">
      <c r="M29" s="582" t="s">
        <v>268</v>
      </c>
      <c r="N29" s="582"/>
      <c r="O29" s="582"/>
    </row>
    <row r="30" spans="2:24" x14ac:dyDescent="0.25">
      <c r="B30" s="46"/>
      <c r="C30" s="387" t="s">
        <v>244</v>
      </c>
      <c r="D30" s="387" t="s">
        <v>252</v>
      </c>
      <c r="E30" s="387" t="s">
        <v>253</v>
      </c>
      <c r="F30" s="387" t="s">
        <v>250</v>
      </c>
      <c r="G30" s="387" t="s">
        <v>289</v>
      </c>
      <c r="H30" s="387" t="s">
        <v>287</v>
      </c>
      <c r="I30" s="387" t="s">
        <v>288</v>
      </c>
    </row>
    <row r="31" spans="2:24" x14ac:dyDescent="0.25">
      <c r="B31" s="46" t="s">
        <v>251</v>
      </c>
      <c r="C31" s="394">
        <f>'FB Analysis'!C19</f>
        <v>16.210699999999999</v>
      </c>
      <c r="D31" s="395">
        <v>0</v>
      </c>
      <c r="E31" s="321" t="e">
        <f>E32/'FB Analysis'!D22</f>
        <v>#REF!</v>
      </c>
      <c r="F31" s="394">
        <f>AVERAGE('FB Analysis'!D19:O19)</f>
        <v>27.006803767259068</v>
      </c>
      <c r="G31" s="394">
        <f>G32/'FB Analysis'!D22</f>
        <v>25.358401883629533</v>
      </c>
      <c r="H31" s="394">
        <v>23.71</v>
      </c>
      <c r="I31" s="394">
        <f>L19</f>
        <v>17.317040951122852</v>
      </c>
      <c r="M31" s="423" t="s">
        <v>17</v>
      </c>
      <c r="N31" s="423" t="s">
        <v>233</v>
      </c>
      <c r="O31" s="423" t="s">
        <v>266</v>
      </c>
      <c r="P31" s="423" t="s">
        <v>267</v>
      </c>
    </row>
    <row r="32" spans="2:24" x14ac:dyDescent="0.25">
      <c r="B32" s="46" t="s">
        <v>233</v>
      </c>
      <c r="C32" s="394">
        <f>'FB Analysis'!C5</f>
        <v>223.59</v>
      </c>
      <c r="D32" s="395">
        <v>0</v>
      </c>
      <c r="E32" s="321" t="e">
        <f>'SG Portfolio'!#REF!</f>
        <v>#REF!</v>
      </c>
      <c r="F32" s="394">
        <f>F31*'FB Analysis'!D22</f>
        <v>272.49865001164397</v>
      </c>
      <c r="G32" s="394">
        <f>AVERAGE(H32,F32)</f>
        <v>255.86627500582199</v>
      </c>
      <c r="H32" s="394">
        <f>H31*'FB Analysis'!$D$22</f>
        <v>239.23390000000001</v>
      </c>
      <c r="I32" s="394">
        <f>I31*'FB Analysis'!$D$22</f>
        <v>174.72894319682956</v>
      </c>
      <c r="M32" s="406">
        <v>43306</v>
      </c>
      <c r="N32" s="394">
        <v>217.5</v>
      </c>
      <c r="O32" s="46"/>
      <c r="P32" s="46"/>
    </row>
    <row r="33" spans="2:16" x14ac:dyDescent="0.25">
      <c r="C33" s="73" t="e">
        <f>(C32-D32)/D32</f>
        <v>#DIV/0!</v>
      </c>
      <c r="D33" s="73">
        <f>(D32-C32)/C32</f>
        <v>-1</v>
      </c>
      <c r="E33" s="73" t="e">
        <f>(E32-D32)/D32</f>
        <v>#REF!</v>
      </c>
      <c r="F33" s="73" t="e">
        <f>(F32-$D$32)/$D$32</f>
        <v>#DIV/0!</v>
      </c>
      <c r="G33" s="73" t="e">
        <f>(G32-$D$32)/$D$32</f>
        <v>#DIV/0!</v>
      </c>
      <c r="H33" s="73" t="e">
        <f>(H32-$D$32)/$D$32</f>
        <v>#DIV/0!</v>
      </c>
      <c r="I33" s="73" t="e">
        <f>(I32-$D$32)/$D$32</f>
        <v>#DIV/0!</v>
      </c>
      <c r="M33" s="406">
        <v>43458</v>
      </c>
      <c r="N33" s="394">
        <v>124.06</v>
      </c>
      <c r="O33" s="303">
        <f>(N33-N32)/N32</f>
        <v>-0.42960919540229886</v>
      </c>
      <c r="P33" s="309">
        <f>M33-M32</f>
        <v>152</v>
      </c>
    </row>
    <row r="34" spans="2:16" x14ac:dyDescent="0.25">
      <c r="D34" s="343"/>
      <c r="E34" s="73" t="e">
        <f>(E32-C32)/C32</f>
        <v>#REF!</v>
      </c>
      <c r="M34" s="406">
        <v>43859</v>
      </c>
      <c r="N34" s="394">
        <v>223.23</v>
      </c>
      <c r="O34" s="46"/>
      <c r="P34" s="46">
        <f>M34-M33</f>
        <v>401</v>
      </c>
    </row>
    <row r="35" spans="2:16" x14ac:dyDescent="0.25">
      <c r="M35" s="406">
        <v>43913</v>
      </c>
      <c r="N35" s="394">
        <v>148.1</v>
      </c>
      <c r="O35" s="303">
        <f>(N35-N34)/N34</f>
        <v>-0.33655870626707879</v>
      </c>
      <c r="P35" s="309">
        <f>M35-M34</f>
        <v>54</v>
      </c>
    </row>
    <row r="36" spans="2:16" x14ac:dyDescent="0.25">
      <c r="B36" s="96" t="s">
        <v>262</v>
      </c>
      <c r="C36" s="420">
        <v>123.8</v>
      </c>
      <c r="D36" s="98"/>
      <c r="E36" s="98"/>
      <c r="F36" s="98"/>
      <c r="G36" s="98"/>
      <c r="H36" s="98"/>
      <c r="I36" s="199"/>
      <c r="M36" s="406">
        <v>44069</v>
      </c>
      <c r="N36" s="394">
        <v>303.91000000000003</v>
      </c>
      <c r="O36" s="46"/>
      <c r="P36" s="46">
        <f>M36-M35</f>
        <v>156</v>
      </c>
    </row>
    <row r="37" spans="2:16" x14ac:dyDescent="0.25">
      <c r="B37" s="46" t="s">
        <v>233</v>
      </c>
      <c r="C37" s="394">
        <f>C32</f>
        <v>223.59</v>
      </c>
      <c r="D37" s="389">
        <f>D32</f>
        <v>0</v>
      </c>
      <c r="E37" s="389" t="e">
        <f t="shared" ref="E37:I37" si="4">E32</f>
        <v>#REF!</v>
      </c>
      <c r="F37" s="389">
        <f t="shared" si="4"/>
        <v>272.49865001164397</v>
      </c>
      <c r="G37" s="389">
        <f t="shared" si="4"/>
        <v>255.86627500582199</v>
      </c>
      <c r="H37" s="389">
        <f t="shared" si="4"/>
        <v>239.23390000000001</v>
      </c>
      <c r="I37" s="389">
        <f t="shared" si="4"/>
        <v>174.72894319682956</v>
      </c>
      <c r="M37" s="406">
        <f ca="1">TODAY()</f>
        <v>44649</v>
      </c>
      <c r="N37" s="394">
        <f>C5</f>
        <v>223.59</v>
      </c>
      <c r="O37" s="303">
        <f>(N37-N36)/N36</f>
        <v>-0.26428876970155646</v>
      </c>
      <c r="P37" s="46">
        <f ca="1">M37-M36</f>
        <v>580</v>
      </c>
    </row>
    <row r="38" spans="2:16" x14ac:dyDescent="0.25">
      <c r="B38" s="46" t="s">
        <v>256</v>
      </c>
      <c r="C38" s="394">
        <f>C37/$C$36</f>
        <v>1.8060581583198709</v>
      </c>
      <c r="D38" s="394">
        <f t="shared" ref="D38:I38" si="5">D37/$C$36</f>
        <v>0</v>
      </c>
      <c r="E38" s="394" t="e">
        <f t="shared" si="5"/>
        <v>#REF!</v>
      </c>
      <c r="F38" s="394">
        <f t="shared" si="5"/>
        <v>2.201119951628788</v>
      </c>
      <c r="G38" s="394">
        <f t="shared" si="5"/>
        <v>2.0667712036011472</v>
      </c>
      <c r="H38" s="394">
        <f t="shared" si="5"/>
        <v>1.9324224555735057</v>
      </c>
      <c r="I38" s="394">
        <f t="shared" si="5"/>
        <v>1.4113808012667979</v>
      </c>
      <c r="L38" s="101"/>
      <c r="M38" s="304"/>
      <c r="N38" s="424">
        <f>N36*(1+O38)</f>
        <v>187.48695650182972</v>
      </c>
      <c r="O38" s="99">
        <f>MEDIAN(O33,O35)</f>
        <v>-0.38308395083468882</v>
      </c>
      <c r="P38" s="46"/>
    </row>
    <row r="39" spans="2:16" x14ac:dyDescent="0.25">
      <c r="B39" s="96" t="s">
        <v>257</v>
      </c>
      <c r="C39" s="98"/>
      <c r="D39" s="98"/>
      <c r="E39" s="98"/>
      <c r="F39" s="315"/>
      <c r="G39" s="98"/>
      <c r="H39" s="98"/>
      <c r="I39" s="199"/>
      <c r="M39" s="101"/>
    </row>
    <row r="40" spans="2:16" x14ac:dyDescent="0.25">
      <c r="B40" s="416" t="s">
        <v>258</v>
      </c>
      <c r="C40" s="54">
        <v>1.74</v>
      </c>
      <c r="D40" s="417">
        <f>C40*$C$36</f>
        <v>215.41200000000001</v>
      </c>
      <c r="E40" s="54"/>
      <c r="F40" s="315" t="s">
        <v>64</v>
      </c>
      <c r="G40" s="425">
        <f>D40/$D$22</f>
        <v>21.349058473736374</v>
      </c>
      <c r="H40" s="54"/>
      <c r="I40" s="248"/>
    </row>
    <row r="41" spans="2:16" x14ac:dyDescent="0.25">
      <c r="B41" s="416" t="s">
        <v>259</v>
      </c>
      <c r="C41" s="54">
        <v>2.31</v>
      </c>
      <c r="D41" s="417">
        <f t="shared" ref="D41:D43" si="6">C41*$C$36</f>
        <v>285.97800000000001</v>
      </c>
      <c r="E41" s="54"/>
      <c r="F41" s="54" t="s">
        <v>64</v>
      </c>
      <c r="G41" s="425">
        <f t="shared" ref="G41:G43" si="7">D41/$D$22</f>
        <v>28.342715559960357</v>
      </c>
      <c r="H41" s="54"/>
      <c r="I41" s="248"/>
    </row>
    <row r="42" spans="2:16" x14ac:dyDescent="0.25">
      <c r="B42" s="416" t="s">
        <v>260</v>
      </c>
      <c r="C42" s="54">
        <v>3.03</v>
      </c>
      <c r="D42" s="417">
        <f t="shared" si="6"/>
        <v>375.11399999999998</v>
      </c>
      <c r="E42" s="54"/>
      <c r="F42" s="54" t="s">
        <v>64</v>
      </c>
      <c r="G42" s="425">
        <f t="shared" si="7"/>
        <v>37.17680872150644</v>
      </c>
      <c r="H42" s="54"/>
      <c r="I42" s="248"/>
    </row>
    <row r="43" spans="2:16" x14ac:dyDescent="0.25">
      <c r="B43" s="418" t="s">
        <v>261</v>
      </c>
      <c r="C43" s="192">
        <v>2.21</v>
      </c>
      <c r="D43" s="419">
        <f t="shared" si="6"/>
        <v>273.59800000000001</v>
      </c>
      <c r="E43" s="192"/>
      <c r="F43" s="192" t="s">
        <v>64</v>
      </c>
      <c r="G43" s="426">
        <f t="shared" si="7"/>
        <v>27.115758176412292</v>
      </c>
      <c r="H43" s="192"/>
      <c r="I43" s="145"/>
    </row>
    <row r="46" spans="2:16" x14ac:dyDescent="0.25">
      <c r="B46" s="96" t="s">
        <v>264</v>
      </c>
      <c r="C46" s="420">
        <v>351.79</v>
      </c>
      <c r="D46" s="98"/>
      <c r="E46" s="98"/>
      <c r="F46" s="98"/>
      <c r="G46" s="98"/>
      <c r="H46" s="98"/>
      <c r="I46" s="199"/>
    </row>
    <row r="47" spans="2:16" x14ac:dyDescent="0.25">
      <c r="B47" s="46" t="s">
        <v>233</v>
      </c>
      <c r="C47" s="394">
        <f>C32</f>
        <v>223.59</v>
      </c>
      <c r="D47" s="389">
        <f>D32</f>
        <v>0</v>
      </c>
      <c r="E47" s="389" t="e">
        <f t="shared" ref="E47:I47" si="8">E32</f>
        <v>#REF!</v>
      </c>
      <c r="F47" s="389">
        <f t="shared" si="8"/>
        <v>272.49865001164397</v>
      </c>
      <c r="G47" s="389">
        <f t="shared" si="8"/>
        <v>255.86627500582199</v>
      </c>
      <c r="H47" s="389">
        <f t="shared" si="8"/>
        <v>239.23390000000001</v>
      </c>
      <c r="I47" s="389">
        <f t="shared" si="8"/>
        <v>174.72894319682956</v>
      </c>
    </row>
    <row r="48" spans="2:16" x14ac:dyDescent="0.25">
      <c r="B48" s="46" t="s">
        <v>263</v>
      </c>
      <c r="C48" s="50">
        <f>($C$46-C47)/$C$46</f>
        <v>0.3644219562807357</v>
      </c>
      <c r="D48" s="50">
        <f t="shared" ref="D48:I48" si="9">($C$46-D47)/$C$46</f>
        <v>1</v>
      </c>
      <c r="E48" s="50" t="e">
        <f t="shared" si="9"/>
        <v>#REF!</v>
      </c>
      <c r="F48" s="50">
        <f t="shared" si="9"/>
        <v>0.22539398501479871</v>
      </c>
      <c r="G48" s="50">
        <f t="shared" si="9"/>
        <v>0.27267325675595677</v>
      </c>
      <c r="H48" s="50">
        <f t="shared" si="9"/>
        <v>0.31995252849711475</v>
      </c>
      <c r="I48" s="50">
        <f t="shared" si="9"/>
        <v>0.50331463885605177</v>
      </c>
    </row>
    <row r="51" spans="2:9" x14ac:dyDescent="0.25">
      <c r="B51" s="96" t="s">
        <v>265</v>
      </c>
      <c r="C51" s="420">
        <v>492.39</v>
      </c>
      <c r="D51" s="98"/>
      <c r="E51" s="98"/>
      <c r="F51" s="98"/>
      <c r="G51" s="98"/>
      <c r="H51" s="98"/>
      <c r="I51" s="199"/>
    </row>
    <row r="52" spans="2:9" x14ac:dyDescent="0.25">
      <c r="B52" s="46" t="s">
        <v>233</v>
      </c>
      <c r="C52" s="394">
        <f>C32</f>
        <v>223.59</v>
      </c>
      <c r="D52" s="389">
        <f>D32</f>
        <v>0</v>
      </c>
      <c r="E52" s="389" t="e">
        <f t="shared" ref="E52:I52" si="10">E32</f>
        <v>#REF!</v>
      </c>
      <c r="F52" s="389">
        <f t="shared" si="10"/>
        <v>272.49865001164397</v>
      </c>
      <c r="G52" s="389">
        <f t="shared" si="10"/>
        <v>255.86627500582199</v>
      </c>
      <c r="H52" s="389">
        <f t="shared" si="10"/>
        <v>239.23390000000001</v>
      </c>
      <c r="I52" s="389">
        <f t="shared" si="10"/>
        <v>174.72894319682956</v>
      </c>
    </row>
    <row r="53" spans="2:9" x14ac:dyDescent="0.25">
      <c r="B53" s="46" t="s">
        <v>263</v>
      </c>
      <c r="C53" s="50">
        <f>($C$51-C52)/$C$51</f>
        <v>0.54590873088405523</v>
      </c>
      <c r="D53" s="50">
        <f t="shared" ref="D53:I53" si="11">($C$51-D52)/$C$51</f>
        <v>1</v>
      </c>
      <c r="E53" s="50" t="e">
        <f t="shared" si="11"/>
        <v>#REF!</v>
      </c>
      <c r="F53" s="50">
        <f t="shared" si="11"/>
        <v>0.44657964212992957</v>
      </c>
      <c r="G53" s="50">
        <f t="shared" si="11"/>
        <v>0.48035850645662587</v>
      </c>
      <c r="H53" s="50">
        <f t="shared" si="11"/>
        <v>0.51413737078332211</v>
      </c>
      <c r="I53" s="50">
        <f t="shared" si="11"/>
        <v>0.64514116209340244</v>
      </c>
    </row>
    <row r="54" spans="2:9" x14ac:dyDescent="0.25">
      <c r="B54" s="96" t="s">
        <v>257</v>
      </c>
      <c r="C54" s="98"/>
      <c r="D54" s="98"/>
      <c r="E54" s="98"/>
      <c r="F54" s="98"/>
      <c r="G54" s="98"/>
      <c r="H54" s="98"/>
      <c r="I54" s="199"/>
    </row>
    <row r="55" spans="2:9" x14ac:dyDescent="0.25">
      <c r="B55" s="416" t="s">
        <v>244</v>
      </c>
      <c r="C55" s="397">
        <f>C52/$C$51</f>
        <v>0.45409126911594472</v>
      </c>
      <c r="D55" s="54"/>
      <c r="E55" s="54"/>
      <c r="F55" s="54"/>
      <c r="G55" s="54"/>
      <c r="H55" s="54"/>
      <c r="I55" s="248"/>
    </row>
    <row r="56" spans="2:9" x14ac:dyDescent="0.25">
      <c r="B56" s="416" t="s">
        <v>258</v>
      </c>
      <c r="C56" s="397">
        <v>0.95</v>
      </c>
      <c r="D56" s="417">
        <f>C56*$C$51</f>
        <v>467.77049999999997</v>
      </c>
      <c r="E56" s="54"/>
      <c r="F56" s="54"/>
      <c r="G56" s="54"/>
      <c r="H56" s="54"/>
      <c r="I56" s="248"/>
    </row>
    <row r="57" spans="2:9" x14ac:dyDescent="0.25">
      <c r="B57" s="416" t="s">
        <v>259</v>
      </c>
      <c r="C57" s="397">
        <v>0.95</v>
      </c>
      <c r="D57" s="417">
        <f t="shared" ref="D57:D59" si="12">C57*$C$51</f>
        <v>467.77049999999997</v>
      </c>
      <c r="E57" s="54"/>
      <c r="F57" s="54"/>
      <c r="G57" s="54"/>
      <c r="H57" s="54"/>
      <c r="I57" s="248"/>
    </row>
    <row r="58" spans="2:9" x14ac:dyDescent="0.25">
      <c r="B58" s="416" t="s">
        <v>260</v>
      </c>
      <c r="C58" s="397">
        <v>0.95</v>
      </c>
      <c r="D58" s="417">
        <f t="shared" si="12"/>
        <v>467.77049999999997</v>
      </c>
      <c r="E58" s="54"/>
      <c r="F58" s="54"/>
      <c r="G58" s="54"/>
      <c r="H58" s="54"/>
      <c r="I58" s="248"/>
    </row>
    <row r="59" spans="2:9" x14ac:dyDescent="0.25">
      <c r="B59" s="418" t="s">
        <v>261</v>
      </c>
      <c r="C59" s="421">
        <v>1.74</v>
      </c>
      <c r="D59" s="419">
        <f t="shared" si="12"/>
        <v>856.7586</v>
      </c>
      <c r="E59" s="192"/>
      <c r="F59" s="192"/>
      <c r="G59" s="192"/>
      <c r="H59" s="192"/>
      <c r="I59" s="145"/>
    </row>
  </sheetData>
  <mergeCells count="7">
    <mergeCell ref="M29:O29"/>
    <mergeCell ref="T3:W3"/>
    <mergeCell ref="B3:B4"/>
    <mergeCell ref="D3:G3"/>
    <mergeCell ref="H3:K3"/>
    <mergeCell ref="L3:O3"/>
    <mergeCell ref="P3:S3"/>
  </mergeCells>
  <phoneticPr fontId="5" type="noConversion"/>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8B92-4D54-47ED-8718-53DEF14A51C0}">
  <sheetPr>
    <tabColor rgb="FF00B0F0"/>
  </sheetPr>
  <dimension ref="B3:Z35"/>
  <sheetViews>
    <sheetView showGridLines="0" topLeftCell="B1" workbookViewId="0">
      <selection activeCell="U26" sqref="U26"/>
    </sheetView>
  </sheetViews>
  <sheetFormatPr defaultColWidth="9.140625" defaultRowHeight="15" x14ac:dyDescent="0.25"/>
  <cols>
    <col min="1" max="2" width="9.140625" style="39"/>
    <col min="3" max="3" width="27.5703125" style="39" bestFit="1" customWidth="1"/>
    <col min="4" max="4" width="10.5703125" style="39" bestFit="1" customWidth="1"/>
    <col min="5" max="5" width="8" style="39" bestFit="1" customWidth="1"/>
    <col min="6" max="6" width="9.140625" style="39"/>
    <col min="7" max="7" width="11.5703125" style="39" bestFit="1" customWidth="1"/>
    <col min="8" max="8" width="10.5703125" style="39" bestFit="1" customWidth="1"/>
    <col min="9" max="9" width="13.42578125" style="39" bestFit="1" customWidth="1"/>
    <col min="10" max="10" width="11.5703125" style="39" bestFit="1" customWidth="1"/>
    <col min="11" max="11" width="12.5703125" style="39" bestFit="1" customWidth="1"/>
    <col min="12" max="12" width="10.42578125" style="39" bestFit="1" customWidth="1"/>
    <col min="13" max="13" width="8.42578125" style="39" bestFit="1" customWidth="1"/>
    <col min="14" max="14" width="8.85546875" style="39" bestFit="1" customWidth="1"/>
    <col min="15" max="15" width="13.7109375" style="39" bestFit="1" customWidth="1"/>
    <col min="16" max="16" width="9.85546875" style="39" bestFit="1" customWidth="1"/>
    <col min="17" max="17" width="10.28515625" style="39" bestFit="1" customWidth="1"/>
    <col min="18" max="18" width="10.7109375" style="39" bestFit="1" customWidth="1"/>
    <col min="19" max="19" width="8.42578125" style="39" bestFit="1" customWidth="1"/>
    <col min="20" max="20" width="7.85546875" style="39" bestFit="1" customWidth="1"/>
    <col min="21" max="21" width="16.140625" style="39" bestFit="1" customWidth="1"/>
    <col min="22" max="22" width="11" style="39" bestFit="1" customWidth="1"/>
    <col min="23" max="23" width="12.28515625" style="39" bestFit="1" customWidth="1"/>
    <col min="24" max="25" width="12.28515625" style="39" customWidth="1"/>
    <col min="26" max="16384" width="9.140625" style="39"/>
  </cols>
  <sheetData>
    <row r="3" spans="2:26" x14ac:dyDescent="0.25">
      <c r="F3" s="445" t="s">
        <v>2</v>
      </c>
      <c r="G3" s="445" t="s">
        <v>3</v>
      </c>
      <c r="H3" s="445" t="s">
        <v>4</v>
      </c>
      <c r="I3" s="445" t="s">
        <v>6</v>
      </c>
      <c r="J3" s="445" t="s">
        <v>15</v>
      </c>
      <c r="K3" s="445" t="s">
        <v>8</v>
      </c>
      <c r="L3" s="445" t="s">
        <v>9</v>
      </c>
      <c r="M3" s="445" t="s">
        <v>77</v>
      </c>
      <c r="N3" s="445" t="s">
        <v>220</v>
      </c>
      <c r="O3" s="445" t="s">
        <v>221</v>
      </c>
      <c r="P3" s="445" t="s">
        <v>9</v>
      </c>
      <c r="Q3" s="445" t="s">
        <v>77</v>
      </c>
      <c r="R3" s="445" t="s">
        <v>215</v>
      </c>
      <c r="S3" s="445" t="s">
        <v>216</v>
      </c>
      <c r="T3" s="445" t="s">
        <v>217</v>
      </c>
      <c r="U3" s="445" t="s">
        <v>142</v>
      </c>
      <c r="V3" s="445" t="s">
        <v>209</v>
      </c>
      <c r="W3" s="445" t="s">
        <v>210</v>
      </c>
    </row>
    <row r="4" spans="2:26" x14ac:dyDescent="0.25">
      <c r="C4" s="43" t="e" vm="14">
        <v>#VALUE!</v>
      </c>
      <c r="D4" s="78" t="s">
        <v>10</v>
      </c>
      <c r="E4" s="78" t="s">
        <v>13</v>
      </c>
      <c r="F4" s="81">
        <v>200</v>
      </c>
      <c r="G4" s="81">
        <v>50</v>
      </c>
      <c r="H4" s="363">
        <f t="shared" ref="H4" si="0">8.88*2+1</f>
        <v>18.760000000000002</v>
      </c>
      <c r="I4" s="81">
        <f t="shared" ref="I4:I10" si="1">((F4*G4)+H4)/G4</f>
        <v>200.37520000000001</v>
      </c>
      <c r="J4" s="81">
        <f t="shared" ref="J4:J10" si="2">I4*G4</f>
        <v>10018.76</v>
      </c>
      <c r="K4" s="141" cm="1">
        <f t="array" ref="K4">_FV(C4,"Price")</f>
        <v>115.09</v>
      </c>
      <c r="L4" s="76">
        <f>(K4-I4)*G4</f>
        <v>-4264.26</v>
      </c>
      <c r="M4" s="77">
        <f t="shared" ref="M4:M10" si="3">L4/J4</f>
        <v>-0.4256275227672886</v>
      </c>
      <c r="N4" s="366">
        <v>282</v>
      </c>
      <c r="O4" s="362">
        <f t="shared" ref="O4:O10" si="4">N4*G4</f>
        <v>14100</v>
      </c>
      <c r="P4" s="76">
        <f t="shared" ref="P4:P10" si="5">(N4-I4)*G4</f>
        <v>4081.24</v>
      </c>
      <c r="Q4" s="77">
        <f t="shared" ref="Q4:Q10" si="6">P4/J4</f>
        <v>0.4073597930282789</v>
      </c>
      <c r="R4" s="360" t="s">
        <v>218</v>
      </c>
      <c r="S4" s="95"/>
      <c r="T4" s="95"/>
      <c r="U4" s="95"/>
      <c r="V4" s="95"/>
      <c r="W4" s="95"/>
      <c r="X4" s="95"/>
      <c r="Y4" s="95"/>
      <c r="Z4" s="43"/>
    </row>
    <row r="5" spans="2:26" s="43" customFormat="1" x14ac:dyDescent="0.25">
      <c r="C5" s="439">
        <f>F5/K4</f>
        <v>1.6508819184985664</v>
      </c>
      <c r="D5" s="409" t="s">
        <v>10</v>
      </c>
      <c r="E5" s="409" t="s">
        <v>13</v>
      </c>
      <c r="F5" s="82">
        <v>190</v>
      </c>
      <c r="G5" s="410">
        <v>0</v>
      </c>
      <c r="H5" s="82">
        <v>0</v>
      </c>
      <c r="I5" s="410" t="e">
        <f t="shared" si="1"/>
        <v>#DIV/0!</v>
      </c>
      <c r="J5" s="410" t="e">
        <f t="shared" si="2"/>
        <v>#DIV/0!</v>
      </c>
      <c r="K5" s="82">
        <f>K4</f>
        <v>115.09</v>
      </c>
      <c r="L5" s="411" t="e">
        <f t="shared" ref="L5:L10" si="7">(K5-I5)*G5</f>
        <v>#DIV/0!</v>
      </c>
      <c r="M5" s="412" t="e">
        <f t="shared" si="3"/>
        <v>#DIV/0!</v>
      </c>
      <c r="N5" s="431">
        <f>N4</f>
        <v>282</v>
      </c>
      <c r="O5" s="414">
        <f t="shared" si="4"/>
        <v>0</v>
      </c>
      <c r="P5" s="411" t="e">
        <f t="shared" si="5"/>
        <v>#DIV/0!</v>
      </c>
      <c r="Q5" s="412" t="e">
        <f t="shared" si="6"/>
        <v>#DIV/0!</v>
      </c>
      <c r="R5" s="415" t="s">
        <v>292</v>
      </c>
      <c r="S5" s="428"/>
      <c r="T5" s="95"/>
      <c r="U5" s="95"/>
      <c r="V5" s="95"/>
      <c r="W5" s="95"/>
      <c r="X5" s="95"/>
      <c r="Y5" s="95"/>
    </row>
    <row r="6" spans="2:26" s="43" customFormat="1" x14ac:dyDescent="0.25">
      <c r="C6" s="439">
        <f t="shared" ref="C6:C10" si="8">F6/F5</f>
        <v>0.89473684210526316</v>
      </c>
      <c r="D6" s="409" t="s">
        <v>10</v>
      </c>
      <c r="E6" s="409" t="s">
        <v>13</v>
      </c>
      <c r="F6" s="82">
        <v>170</v>
      </c>
      <c r="G6" s="410"/>
      <c r="H6" s="82"/>
      <c r="I6" s="410" t="e">
        <f t="shared" si="1"/>
        <v>#DIV/0!</v>
      </c>
      <c r="J6" s="410" t="e">
        <f t="shared" si="2"/>
        <v>#DIV/0!</v>
      </c>
      <c r="K6" s="410">
        <f>K4</f>
        <v>115.09</v>
      </c>
      <c r="L6" s="411" t="e">
        <f t="shared" si="7"/>
        <v>#DIV/0!</v>
      </c>
      <c r="M6" s="412" t="e">
        <f t="shared" si="3"/>
        <v>#DIV/0!</v>
      </c>
      <c r="N6" s="431">
        <f>N4</f>
        <v>282</v>
      </c>
      <c r="O6" s="414">
        <f t="shared" si="4"/>
        <v>0</v>
      </c>
      <c r="P6" s="411" t="e">
        <f t="shared" si="5"/>
        <v>#DIV/0!</v>
      </c>
      <c r="Q6" s="412" t="e">
        <f t="shared" si="6"/>
        <v>#DIV/0!</v>
      </c>
      <c r="R6" s="415" t="s">
        <v>218</v>
      </c>
      <c r="S6" s="428"/>
      <c r="T6" s="95"/>
      <c r="U6" s="95"/>
      <c r="V6" s="95"/>
      <c r="W6" s="95"/>
      <c r="X6" s="95"/>
      <c r="Y6" s="95"/>
    </row>
    <row r="7" spans="2:26" s="43" customFormat="1" x14ac:dyDescent="0.25">
      <c r="C7" s="439">
        <f t="shared" si="8"/>
        <v>0.88235294117647056</v>
      </c>
      <c r="D7" s="409" t="s">
        <v>10</v>
      </c>
      <c r="E7" s="409" t="s">
        <v>13</v>
      </c>
      <c r="F7" s="82">
        <v>150</v>
      </c>
      <c r="G7" s="410"/>
      <c r="H7" s="82"/>
      <c r="I7" s="410" t="e">
        <f t="shared" si="1"/>
        <v>#DIV/0!</v>
      </c>
      <c r="J7" s="410" t="e">
        <f t="shared" si="2"/>
        <v>#DIV/0!</v>
      </c>
      <c r="K7" s="410">
        <f t="shared" ref="K7" si="9">K4</f>
        <v>115.09</v>
      </c>
      <c r="L7" s="411" t="e">
        <f t="shared" si="7"/>
        <v>#DIV/0!</v>
      </c>
      <c r="M7" s="412" t="e">
        <f t="shared" si="3"/>
        <v>#DIV/0!</v>
      </c>
      <c r="N7" s="431">
        <f t="shared" ref="N7" si="10">N4</f>
        <v>282</v>
      </c>
      <c r="O7" s="414">
        <f t="shared" si="4"/>
        <v>0</v>
      </c>
      <c r="P7" s="411" t="e">
        <f t="shared" si="5"/>
        <v>#DIV/0!</v>
      </c>
      <c r="Q7" s="412" t="e">
        <f t="shared" si="6"/>
        <v>#DIV/0!</v>
      </c>
      <c r="R7" s="415" t="s">
        <v>218</v>
      </c>
      <c r="S7" s="428"/>
      <c r="T7" s="95"/>
      <c r="U7" s="95"/>
      <c r="V7" s="95"/>
      <c r="W7" s="95"/>
      <c r="X7" s="95"/>
      <c r="Y7" s="95"/>
    </row>
    <row r="8" spans="2:26" s="43" customFormat="1" x14ac:dyDescent="0.25">
      <c r="C8" s="439">
        <f t="shared" si="8"/>
        <v>0.8</v>
      </c>
      <c r="D8" s="409" t="s">
        <v>10</v>
      </c>
      <c r="E8" s="409" t="s">
        <v>13</v>
      </c>
      <c r="F8" s="82">
        <v>120</v>
      </c>
      <c r="G8" s="410"/>
      <c r="H8" s="82"/>
      <c r="I8" s="410" t="e">
        <f t="shared" si="1"/>
        <v>#DIV/0!</v>
      </c>
      <c r="J8" s="410" t="e">
        <f t="shared" si="2"/>
        <v>#DIV/0!</v>
      </c>
      <c r="K8" s="410">
        <f>K4</f>
        <v>115.09</v>
      </c>
      <c r="L8" s="411" t="e">
        <f t="shared" si="7"/>
        <v>#DIV/0!</v>
      </c>
      <c r="M8" s="412" t="e">
        <f t="shared" si="3"/>
        <v>#DIV/0!</v>
      </c>
      <c r="N8" s="431">
        <f>N4</f>
        <v>282</v>
      </c>
      <c r="O8" s="414">
        <f t="shared" si="4"/>
        <v>0</v>
      </c>
      <c r="P8" s="411" t="e">
        <f t="shared" si="5"/>
        <v>#DIV/0!</v>
      </c>
      <c r="Q8" s="412" t="e">
        <f t="shared" si="6"/>
        <v>#DIV/0!</v>
      </c>
      <c r="R8" s="415" t="s">
        <v>218</v>
      </c>
      <c r="S8" s="428"/>
      <c r="T8" s="95"/>
      <c r="U8" s="95"/>
      <c r="V8" s="95"/>
      <c r="W8" s="95"/>
      <c r="X8" s="95"/>
      <c r="Y8" s="95"/>
    </row>
    <row r="9" spans="2:26" s="43" customFormat="1" x14ac:dyDescent="0.25">
      <c r="C9" s="439">
        <f t="shared" si="8"/>
        <v>0.83333333333333337</v>
      </c>
      <c r="D9" s="409" t="s">
        <v>10</v>
      </c>
      <c r="E9" s="409" t="s">
        <v>13</v>
      </c>
      <c r="F9" s="82">
        <v>100</v>
      </c>
      <c r="G9" s="410"/>
      <c r="H9" s="82"/>
      <c r="I9" s="410" t="e">
        <f t="shared" si="1"/>
        <v>#DIV/0!</v>
      </c>
      <c r="J9" s="410" t="e">
        <f t="shared" si="2"/>
        <v>#DIV/0!</v>
      </c>
      <c r="K9" s="410">
        <f>K5</f>
        <v>115.09</v>
      </c>
      <c r="L9" s="411" t="e">
        <f t="shared" si="7"/>
        <v>#DIV/0!</v>
      </c>
      <c r="M9" s="412" t="e">
        <f t="shared" si="3"/>
        <v>#DIV/0!</v>
      </c>
      <c r="N9" s="431">
        <f>N5</f>
        <v>282</v>
      </c>
      <c r="O9" s="414">
        <f t="shared" si="4"/>
        <v>0</v>
      </c>
      <c r="P9" s="411" t="e">
        <f t="shared" si="5"/>
        <v>#DIV/0!</v>
      </c>
      <c r="Q9" s="412" t="e">
        <f t="shared" si="6"/>
        <v>#DIV/0!</v>
      </c>
      <c r="R9" s="415" t="s">
        <v>218</v>
      </c>
      <c r="S9" s="95"/>
      <c r="T9" s="95"/>
      <c r="U9" s="95"/>
      <c r="V9" s="95"/>
      <c r="W9" s="95"/>
      <c r="X9" s="95"/>
      <c r="Y9" s="95"/>
    </row>
    <row r="10" spans="2:26" s="43" customFormat="1" x14ac:dyDescent="0.25">
      <c r="C10" s="439">
        <f t="shared" si="8"/>
        <v>0.8</v>
      </c>
      <c r="D10" s="409" t="s">
        <v>10</v>
      </c>
      <c r="E10" s="409" t="s">
        <v>13</v>
      </c>
      <c r="F10" s="82">
        <v>80</v>
      </c>
      <c r="G10" s="410"/>
      <c r="H10" s="82"/>
      <c r="I10" s="410" t="e">
        <f t="shared" si="1"/>
        <v>#DIV/0!</v>
      </c>
      <c r="J10" s="410" t="e">
        <f t="shared" si="2"/>
        <v>#DIV/0!</v>
      </c>
      <c r="K10" s="410">
        <f t="shared" ref="K10" si="11">K9</f>
        <v>115.09</v>
      </c>
      <c r="L10" s="411" t="e">
        <f t="shared" si="7"/>
        <v>#DIV/0!</v>
      </c>
      <c r="M10" s="412" t="e">
        <f t="shared" si="3"/>
        <v>#DIV/0!</v>
      </c>
      <c r="N10" s="413">
        <f t="shared" ref="N10" si="12">K10</f>
        <v>115.09</v>
      </c>
      <c r="O10" s="414">
        <f t="shared" si="4"/>
        <v>0</v>
      </c>
      <c r="P10" s="411" t="e">
        <f t="shared" si="5"/>
        <v>#DIV/0!</v>
      </c>
      <c r="Q10" s="412" t="e">
        <f t="shared" si="6"/>
        <v>#DIV/0!</v>
      </c>
      <c r="R10" s="415" t="s">
        <v>218</v>
      </c>
      <c r="S10" s="95"/>
      <c r="T10" s="95"/>
      <c r="U10" s="95"/>
      <c r="V10" s="95"/>
      <c r="W10" s="95"/>
      <c r="X10" s="95"/>
      <c r="Y10" s="95"/>
    </row>
    <row r="11" spans="2:26" s="43" customFormat="1" x14ac:dyDescent="0.25">
      <c r="D11" s="402"/>
      <c r="E11" s="402"/>
      <c r="F11" s="403"/>
      <c r="G11" s="403"/>
      <c r="H11" s="403"/>
      <c r="I11" s="403"/>
      <c r="J11" s="403"/>
      <c r="K11" s="403"/>
      <c r="L11" s="404"/>
      <c r="M11" s="405"/>
      <c r="N11" s="405"/>
      <c r="O11" s="405"/>
      <c r="P11" s="405"/>
      <c r="Q11" s="405"/>
      <c r="R11" s="405"/>
      <c r="S11" s="95"/>
      <c r="T11" s="95"/>
      <c r="U11" s="408"/>
      <c r="V11" s="95"/>
      <c r="W11" s="95"/>
      <c r="X11" s="95"/>
      <c r="Y11" s="95"/>
    </row>
    <row r="12" spans="2:26" s="91" customFormat="1" x14ac:dyDescent="0.25">
      <c r="B12" s="55"/>
      <c r="D12" s="399" t="s">
        <v>10</v>
      </c>
      <c r="E12" s="399" t="s">
        <v>13</v>
      </c>
      <c r="F12" s="400">
        <f>(F4*G4+F5*G5+F6*G6+F7*G7+F8*G8+F9*G9+F10*G10)/G12</f>
        <v>200</v>
      </c>
      <c r="G12" s="363">
        <f>SUM(G4:G10)</f>
        <v>50</v>
      </c>
      <c r="H12" s="363">
        <f>SUM(H4:H10)</f>
        <v>18.760000000000002</v>
      </c>
      <c r="I12" s="363">
        <f>((F12*G12)+H12)/G12</f>
        <v>200.37520000000001</v>
      </c>
      <c r="J12" s="363">
        <f>I12*G12</f>
        <v>10018.76</v>
      </c>
      <c r="K12" s="363">
        <f>K4</f>
        <v>115.09</v>
      </c>
      <c r="L12" s="364">
        <f>(K12-I12)*G12</f>
        <v>-4264.26</v>
      </c>
      <c r="M12" s="365">
        <f>L12/J12</f>
        <v>-0.4256275227672886</v>
      </c>
      <c r="N12" s="366"/>
      <c r="O12" s="366"/>
      <c r="P12" s="364"/>
      <c r="Q12" s="365"/>
      <c r="R12" s="401"/>
      <c r="S12" s="77"/>
      <c r="T12" s="77"/>
      <c r="U12" s="200">
        <f>(('SG Portfolio'!$D$4+'SG Portfolio'!$D$5)-('SG Portfolio'!$E$17+'SG Portfolio'!$E$18+'SG Portfolio'!$E$19))+((J12)+(L12))*(1-'Fee and Margin'!$E$25)+('SG Portfolio'!$E$18+'SG Portfolio'!$H$18)*(1-'Fee and Margin'!$E$26)+('SG Portfolio'!$E$19+'SG Portfolio'!$H$19)*(1-'Fee and Margin'!$E$27)</f>
        <v>-21371.695033730473</v>
      </c>
      <c r="V12" s="200">
        <f>((J12)+(L12))*'Fee and Margin'!$F$25+('SG Portfolio'!$E$18+'SG Portfolio'!$H$18)*'Fee and Margin'!$F$26+('SG Portfolio'!$E$19+'SG Portfolio'!$H$19)*'Fee and Margin'!$F$27-((('SG Portfolio'!$D$4+'SG Portfolio'!$D$5)-('SG Portfolio'!$E$17+'SG Portfolio'!$E$18+'SG Portfolio'!$E$19))+((J12)+(L12)+'SG Portfolio'!$E$18+'SG Portfolio'!$H$18+'SG Portfolio'!$E$19+'SG Portfolio'!$H$19))</f>
        <v>20445.201483730474</v>
      </c>
      <c r="W12" s="200">
        <f>((J12)+(L12))*'Fee and Margin'!$G$25+('SG Portfolio'!$E$18+'SG Portfolio'!$H$18)*'Fee and Margin'!$G$26+('SG Portfolio'!$E$19+'SG Portfolio'!$H$19)*'Fee and Margin'!$G$27-((('SG Portfolio'!$D$4+'SG Portfolio'!$D$5)-('SG Portfolio'!$E$17+'SG Portfolio'!$E$18+'SG Portfolio'!$E$19))+((J12)+(L12)+'SG Portfolio'!$E$18+'SG Portfolio'!$H$18+'SG Portfolio'!$E$19+'SG Portfolio'!$H$19))</f>
        <v>19365.854833730475</v>
      </c>
      <c r="X12" s="95"/>
      <c r="Y12" s="95"/>
    </row>
    <row r="13" spans="2:26" x14ac:dyDescent="0.25">
      <c r="D13" s="78" t="s">
        <v>10</v>
      </c>
      <c r="E13" s="78" t="s">
        <v>13</v>
      </c>
      <c r="F13" s="90">
        <f>$F$12</f>
        <v>200</v>
      </c>
      <c r="G13" s="81">
        <f>$G$12</f>
        <v>50</v>
      </c>
      <c r="H13" s="81">
        <f>$H$12</f>
        <v>18.760000000000002</v>
      </c>
      <c r="I13" s="81">
        <f t="shared" ref="I13:I18" si="13">((F13*G13)+H13)/G13</f>
        <v>200.37520000000001</v>
      </c>
      <c r="J13" s="81">
        <f t="shared" ref="J13:J18" si="14">I13*G13</f>
        <v>10018.76</v>
      </c>
      <c r="K13" s="81">
        <v>255</v>
      </c>
      <c r="L13" s="76">
        <f t="shared" ref="L13:L18" si="15">(K13-I13)*G13</f>
        <v>2731.24</v>
      </c>
      <c r="M13" s="77">
        <f t="shared" ref="M13:M18" si="16">L13/J13</f>
        <v>0.2726125788021671</v>
      </c>
      <c r="N13" s="77"/>
      <c r="O13" s="77"/>
      <c r="P13" s="76"/>
      <c r="Q13" s="77"/>
      <c r="R13" s="77"/>
      <c r="S13" s="77"/>
      <c r="T13" s="77"/>
      <c r="U13" s="200">
        <f>(('SG Portfolio'!$D$4+'SG Portfolio'!$D$5)-('SG Portfolio'!$E$17+'SG Portfolio'!$E$18+'SG Portfolio'!$E$19))+((J13)+(L13))*(1-'Fee and Margin'!$E$25)+('SG Portfolio'!$E$18+'SG Portfolio'!$H$18)*(1-'Fee and Margin'!$E$26)+('SG Portfolio'!$E$19+'SG Portfolio'!$H$19)*(1-'Fee and Margin'!$E$27)</f>
        <v>-16374.809383730477</v>
      </c>
      <c r="V13" s="200">
        <f>((J13)+(L13))*'Fee and Margin'!$F$25+('SG Portfolio'!$E$18+'SG Portfolio'!$H$18)*'Fee and Margin'!$F$26+('SG Portfolio'!$E$19+'SG Portfolio'!$H$19)*'Fee and Margin'!$F$27-((('SG Portfolio'!$D$4+'SG Portfolio'!$D$5)-('SG Portfolio'!$E$17+'SG Portfolio'!$E$18+'SG Portfolio'!$E$19))+((J13)+(L13)+'SG Portfolio'!$E$18+'SG Portfolio'!$H$18+'SG Portfolio'!$E$19+'SG Portfolio'!$H$19))</f>
        <v>15064.262883730475</v>
      </c>
      <c r="W13" s="200">
        <f>((J13)+(L13))*'Fee and Margin'!$G$25+('SG Portfolio'!$E$18+'SG Portfolio'!$H$18)*'Fee and Margin'!$G$26+('SG Portfolio'!$E$19+'SG Portfolio'!$H$19)*'Fee and Margin'!$G$27-((('SG Portfolio'!$D$4+'SG Portfolio'!$D$5)-('SG Portfolio'!$E$17+'SG Portfolio'!$E$18+'SG Portfolio'!$E$19))+((J13)+(L13)+'SG Portfolio'!$E$18+'SG Portfolio'!$H$18+'SG Portfolio'!$E$19+'SG Portfolio'!$H$19))</f>
        <v>13536.504683730474</v>
      </c>
      <c r="X13" s="95"/>
      <c r="Y13" s="95"/>
    </row>
    <row r="14" spans="2:26" x14ac:dyDescent="0.25">
      <c r="D14" s="78" t="s">
        <v>10</v>
      </c>
      <c r="E14" s="78" t="s">
        <v>13</v>
      </c>
      <c r="F14" s="90">
        <f t="shared" ref="F14:F18" si="17">$F$12</f>
        <v>200</v>
      </c>
      <c r="G14" s="81">
        <f t="shared" ref="G14:G18" si="18">$G$12</f>
        <v>50</v>
      </c>
      <c r="H14" s="81">
        <f t="shared" ref="H14:H18" si="19">$H$12</f>
        <v>18.760000000000002</v>
      </c>
      <c r="I14" s="81">
        <f t="shared" si="13"/>
        <v>200.37520000000001</v>
      </c>
      <c r="J14" s="81">
        <f t="shared" si="14"/>
        <v>10018.76</v>
      </c>
      <c r="K14" s="81">
        <f>'FB Analysis'!H32</f>
        <v>239.23390000000001</v>
      </c>
      <c r="L14" s="76">
        <f t="shared" si="15"/>
        <v>1942.9349999999999</v>
      </c>
      <c r="M14" s="77">
        <f t="shared" si="16"/>
        <v>0.19392968790548928</v>
      </c>
      <c r="N14" s="77"/>
      <c r="O14" s="77"/>
      <c r="P14" s="76"/>
      <c r="Q14" s="77"/>
      <c r="R14" s="77"/>
      <c r="S14" s="77"/>
      <c r="T14" s="77"/>
      <c r="U14" s="200">
        <f>(('SG Portfolio'!$D$4+'SG Portfolio'!$D$5)-('SG Portfolio'!$E$17+'SG Portfolio'!$E$18+'SG Portfolio'!$E$19))+((J14)+(L14))*(1-'Fee and Margin'!$E$25)+('SG Portfolio'!$E$18+'SG Portfolio'!$H$18)*(1-'Fee and Margin'!$E$26)+('SG Portfolio'!$E$19+'SG Portfolio'!$H$19)*(1-'Fee and Margin'!$E$27)</f>
        <v>-16937.895645230477</v>
      </c>
      <c r="V14" s="200">
        <f>((J14)+(L14))*'Fee and Margin'!$F$25+('SG Portfolio'!$E$18+'SG Portfolio'!$H$18)*'Fee and Margin'!$F$26+('SG Portfolio'!$E$19+'SG Portfolio'!$H$19)*'Fee and Margin'!$F$27-((('SG Portfolio'!$D$4+'SG Portfolio'!$D$5)-('SG Portfolio'!$E$17+'SG Portfolio'!$E$18+'SG Portfolio'!$E$19))+((J14)+(L14)+'SG Portfolio'!$E$18+'SG Portfolio'!$H$18+'SG Portfolio'!$E$19+'SG Portfolio'!$H$19))</f>
        <v>15670.627089730475</v>
      </c>
      <c r="W14" s="200">
        <f>((J14)+(L14))*'Fee and Margin'!$G$25+('SG Portfolio'!$E$18+'SG Portfolio'!$H$18)*'Fee and Margin'!$G$26+('SG Portfolio'!$E$19+'SG Portfolio'!$H$19)*'Fee and Margin'!$G$27-((('SG Portfolio'!$D$4+'SG Portfolio'!$D$5)-('SG Portfolio'!$E$17+'SG Portfolio'!$E$18+'SG Portfolio'!$E$19))+((J14)+(L14)+'SG Portfolio'!$E$18+'SG Portfolio'!$H$18+'SG Portfolio'!$E$19+'SG Portfolio'!$H$19))</f>
        <v>14193.399240230476</v>
      </c>
      <c r="X14" s="95"/>
      <c r="Y14" s="95"/>
    </row>
    <row r="15" spans="2:26" x14ac:dyDescent="0.25">
      <c r="D15" s="78" t="s">
        <v>10</v>
      </c>
      <c r="E15" s="78" t="s">
        <v>13</v>
      </c>
      <c r="F15" s="90">
        <f t="shared" si="17"/>
        <v>200</v>
      </c>
      <c r="G15" s="81">
        <f t="shared" si="18"/>
        <v>50</v>
      </c>
      <c r="H15" s="81">
        <f t="shared" si="19"/>
        <v>18.760000000000002</v>
      </c>
      <c r="I15" s="81">
        <f t="shared" si="13"/>
        <v>200.37520000000001</v>
      </c>
      <c r="J15" s="81">
        <f t="shared" si="14"/>
        <v>10018.76</v>
      </c>
      <c r="K15" s="81">
        <v>220</v>
      </c>
      <c r="L15" s="76">
        <f t="shared" si="15"/>
        <v>981.23999999999967</v>
      </c>
      <c r="M15" s="77">
        <f t="shared" si="16"/>
        <v>9.7940264064614743E-2</v>
      </c>
      <c r="N15" s="77"/>
      <c r="O15" s="77"/>
      <c r="P15" s="76"/>
      <c r="Q15" s="77"/>
      <c r="R15" s="77"/>
      <c r="S15" s="77"/>
      <c r="T15" s="77"/>
      <c r="U15" s="200">
        <f>(('SG Portfolio'!$D$4+'SG Portfolio'!$D$5)-('SG Portfolio'!$E$17+'SG Portfolio'!$E$18+'SG Portfolio'!$E$19))+((J15)+(L15))*(1-'Fee and Margin'!$E$25)+('SG Portfolio'!$E$18+'SG Portfolio'!$H$18)*(1-'Fee and Margin'!$E$26)+('SG Portfolio'!$E$19+'SG Portfolio'!$H$19)*(1-'Fee and Margin'!$E$27)</f>
        <v>-17624.834383730475</v>
      </c>
      <c r="V15" s="200">
        <f>((J15)+(L15))*'Fee and Margin'!$F$25+('SG Portfolio'!$E$18+'SG Portfolio'!$H$18)*'Fee and Margin'!$F$26+('SG Portfolio'!$E$19+'SG Portfolio'!$H$19)*'Fee and Margin'!$F$27-((('SG Portfolio'!$D$4+'SG Portfolio'!$D$5)-('SG Portfolio'!$E$17+'SG Portfolio'!$E$18+'SG Portfolio'!$E$19))+((J15)+(L15)+'SG Portfolio'!$E$18+'SG Portfolio'!$H$18+'SG Portfolio'!$E$19+'SG Portfolio'!$H$19))</f>
        <v>16410.362883730475</v>
      </c>
      <c r="W15" s="200">
        <f>((J15)+(L15))*'Fee and Margin'!$G$25+('SG Portfolio'!$E$18+'SG Portfolio'!$H$18)*'Fee and Margin'!$G$26+('SG Portfolio'!$E$19+'SG Portfolio'!$H$19)*'Fee and Margin'!$G$27-((('SG Portfolio'!$D$4+'SG Portfolio'!$D$5)-('SG Portfolio'!$E$17+'SG Portfolio'!$E$18+'SG Portfolio'!$E$19))+((J15)+(L15)+'SG Portfolio'!$E$18+'SG Portfolio'!$H$18+'SG Portfolio'!$E$19+'SG Portfolio'!$H$19))</f>
        <v>14994.779683730474</v>
      </c>
      <c r="X15" s="95"/>
      <c r="Y15" s="95"/>
    </row>
    <row r="16" spans="2:26" x14ac:dyDescent="0.25">
      <c r="D16" s="78" t="s">
        <v>10</v>
      </c>
      <c r="E16" s="78" t="s">
        <v>13</v>
      </c>
      <c r="F16" s="90">
        <f t="shared" si="17"/>
        <v>200</v>
      </c>
      <c r="G16" s="81">
        <f t="shared" si="18"/>
        <v>50</v>
      </c>
      <c r="H16" s="81">
        <f t="shared" si="19"/>
        <v>18.760000000000002</v>
      </c>
      <c r="I16" s="81">
        <f t="shared" si="13"/>
        <v>200.37520000000001</v>
      </c>
      <c r="J16" s="81">
        <f t="shared" si="14"/>
        <v>10018.76</v>
      </c>
      <c r="K16" s="81">
        <v>202</v>
      </c>
      <c r="L16" s="76">
        <f t="shared" si="15"/>
        <v>81.239999999999668</v>
      </c>
      <c r="M16" s="77">
        <f t="shared" si="16"/>
        <v>8.1087879138735403E-3</v>
      </c>
      <c r="N16" s="77"/>
      <c r="O16" s="77"/>
      <c r="P16" s="76"/>
      <c r="Q16" s="77"/>
      <c r="R16" s="77"/>
      <c r="S16" s="77"/>
      <c r="T16" s="77"/>
      <c r="U16" s="200">
        <f>(('SG Portfolio'!$D$4+'SG Portfolio'!$D$5)-('SG Portfolio'!$E$17+'SG Portfolio'!$E$18+'SG Portfolio'!$E$19))+((J16)+(L16))*(1-'Fee and Margin'!$E$25)+('SG Portfolio'!$E$18+'SG Portfolio'!$H$18)*(1-'Fee and Margin'!$E$26)+('SG Portfolio'!$E$19+'SG Portfolio'!$H$19)*(1-'Fee and Margin'!$E$27)</f>
        <v>-18267.704383730474</v>
      </c>
      <c r="V16" s="200">
        <f>((J16)+(L16))*'Fee and Margin'!$F$25+('SG Portfolio'!$E$18+'SG Portfolio'!$H$18)*'Fee and Margin'!$F$26+('SG Portfolio'!$E$19+'SG Portfolio'!$H$19)*'Fee and Margin'!$F$27-((('SG Portfolio'!$D$4+'SG Portfolio'!$D$5)-('SG Portfolio'!$E$17+'SG Portfolio'!$E$18+'SG Portfolio'!$E$19))+((J16)+(L16)+'SG Portfolio'!$E$18+'SG Portfolio'!$H$18+'SG Portfolio'!$E$19+'SG Portfolio'!$H$19))</f>
        <v>17102.642883730474</v>
      </c>
      <c r="W16" s="200">
        <f>((J16)+(L16))*'Fee and Margin'!$G$25+('SG Portfolio'!$E$18+'SG Portfolio'!$H$18)*'Fee and Margin'!$G$26+('SG Portfolio'!$E$19+'SG Portfolio'!$H$19)*'Fee and Margin'!$G$27-((('SG Portfolio'!$D$4+'SG Portfolio'!$D$5)-('SG Portfolio'!$E$17+'SG Portfolio'!$E$18+'SG Portfolio'!$E$19))+((J16)+(L16)+'SG Portfolio'!$E$18+'SG Portfolio'!$H$18+'SG Portfolio'!$E$19+'SG Portfolio'!$H$19))</f>
        <v>15744.749683730475</v>
      </c>
      <c r="X16" s="95"/>
      <c r="Y16" s="95"/>
    </row>
    <row r="17" spans="4:25" x14ac:dyDescent="0.25">
      <c r="D17" s="78" t="s">
        <v>10</v>
      </c>
      <c r="E17" s="78" t="s">
        <v>13</v>
      </c>
      <c r="F17" s="90">
        <f t="shared" si="17"/>
        <v>200</v>
      </c>
      <c r="G17" s="81">
        <f t="shared" si="18"/>
        <v>50</v>
      </c>
      <c r="H17" s="81">
        <f t="shared" si="19"/>
        <v>18.760000000000002</v>
      </c>
      <c r="I17" s="81">
        <f t="shared" si="13"/>
        <v>200.37520000000001</v>
      </c>
      <c r="J17" s="81">
        <f t="shared" si="14"/>
        <v>10018.76</v>
      </c>
      <c r="K17" s="81">
        <v>185</v>
      </c>
      <c r="L17" s="76">
        <f t="shared" si="15"/>
        <v>-768.76000000000033</v>
      </c>
      <c r="M17" s="77">
        <f t="shared" si="16"/>
        <v>-7.6732050672937605E-2</v>
      </c>
      <c r="N17" s="77"/>
      <c r="O17" s="77"/>
      <c r="P17" s="76"/>
      <c r="Q17" s="77"/>
      <c r="R17" s="77"/>
      <c r="S17" s="77"/>
      <c r="T17" s="77"/>
      <c r="U17" s="200">
        <f>(('SG Portfolio'!$D$4+'SG Portfolio'!$D$5)-('SG Portfolio'!$E$17+'SG Portfolio'!$E$18+'SG Portfolio'!$E$19))+((J17)+(L17))*(1-'Fee and Margin'!$E$25)+('SG Portfolio'!$E$18+'SG Portfolio'!$H$18)*(1-'Fee and Margin'!$E$26)+('SG Portfolio'!$E$19+'SG Portfolio'!$H$19)*(1-'Fee and Margin'!$E$27)</f>
        <v>-18874.859383730472</v>
      </c>
      <c r="V17" s="200">
        <f>((J17)+(L17))*'Fee and Margin'!$F$25+('SG Portfolio'!$E$18+'SG Portfolio'!$H$18)*'Fee and Margin'!$F$26+('SG Portfolio'!$E$19+'SG Portfolio'!$H$19)*'Fee and Margin'!$F$27-((('SG Portfolio'!$D$4+'SG Portfolio'!$D$5)-('SG Portfolio'!$E$17+'SG Portfolio'!$E$18+'SG Portfolio'!$E$19))+((J17)+(L17)+'SG Portfolio'!$E$18+'SG Portfolio'!$H$18+'SG Portfolio'!$E$19+'SG Portfolio'!$H$19))</f>
        <v>17756.462883730477</v>
      </c>
      <c r="W17" s="200">
        <f>((J17)+(L17))*'Fee and Margin'!$G$25+('SG Portfolio'!$E$18+'SG Portfolio'!$H$18)*'Fee and Margin'!$G$26+('SG Portfolio'!$E$19+'SG Portfolio'!$H$19)*'Fee and Margin'!$G$27-((('SG Portfolio'!$D$4+'SG Portfolio'!$D$5)-('SG Portfolio'!$E$17+'SG Portfolio'!$E$18+'SG Portfolio'!$E$19))+((J17)+(L17)+'SG Portfolio'!$E$18+'SG Portfolio'!$H$18+'SG Portfolio'!$E$19+'SG Portfolio'!$H$19))</f>
        <v>16453.054683730476</v>
      </c>
      <c r="X17" s="95"/>
      <c r="Y17" s="95"/>
    </row>
    <row r="18" spans="4:25" x14ac:dyDescent="0.25">
      <c r="D18" s="78" t="s">
        <v>10</v>
      </c>
      <c r="E18" s="78" t="s">
        <v>13</v>
      </c>
      <c r="F18" s="90">
        <f t="shared" si="17"/>
        <v>200</v>
      </c>
      <c r="G18" s="81">
        <f t="shared" si="18"/>
        <v>50</v>
      </c>
      <c r="H18" s="81">
        <f t="shared" si="19"/>
        <v>18.760000000000002</v>
      </c>
      <c r="I18" s="81">
        <f t="shared" si="13"/>
        <v>200.37520000000001</v>
      </c>
      <c r="J18" s="81">
        <f t="shared" si="14"/>
        <v>10018.76</v>
      </c>
      <c r="K18" s="81">
        <f>'FB Analysis'!I32</f>
        <v>174.72894319682956</v>
      </c>
      <c r="L18" s="76">
        <f t="shared" si="15"/>
        <v>-1282.3128401585222</v>
      </c>
      <c r="M18" s="77">
        <f t="shared" si="16"/>
        <v>-0.12799117257609946</v>
      </c>
      <c r="N18" s="77"/>
      <c r="O18" s="77"/>
      <c r="P18" s="76"/>
      <c r="Q18" s="77"/>
      <c r="R18" s="77"/>
      <c r="S18" s="77"/>
      <c r="T18" s="77"/>
      <c r="U18" s="200">
        <f>(('SG Portfolio'!$D$4+'SG Portfolio'!$D$5)-('SG Portfolio'!$E$17+'SG Portfolio'!$E$18+'SG Portfolio'!$E$19))+((J18)+(L18))*(1-'Fee and Margin'!$E$25)+('SG Portfolio'!$E$18+'SG Portfolio'!$H$18)*(1-'Fee and Margin'!$E$26)+('SG Portfolio'!$E$19+'SG Portfolio'!$H$19)*(1-'Fee and Margin'!$E$27)</f>
        <v>-19241.690177455705</v>
      </c>
      <c r="V18" s="200">
        <f>((J18)+(L18))*'Fee and Margin'!$F$25+('SG Portfolio'!$E$18+'SG Portfolio'!$H$18)*'Fee and Margin'!$F$26+('SG Portfolio'!$E$19+'SG Portfolio'!$H$19)*'Fee and Margin'!$F$27-((('SG Portfolio'!$D$4+'SG Portfolio'!$D$5)-('SG Portfolio'!$E$17+'SG Portfolio'!$E$18+'SG Portfolio'!$E$19))+((J18)+(L18)+'SG Portfolio'!$E$18+'SG Portfolio'!$H$18+'SG Portfolio'!$E$19+'SG Portfolio'!$H$19))</f>
        <v>18151.487728380405</v>
      </c>
      <c r="W18" s="200">
        <f>((J18)+(L18))*'Fee and Margin'!$G$25+('SG Portfolio'!$E$18+'SG Portfolio'!$H$18)*'Fee and Margin'!$G$26+('SG Portfolio'!$E$19+'SG Portfolio'!$H$19)*'Fee and Margin'!$G$27-((('SG Portfolio'!$D$4+'SG Portfolio'!$D$5)-('SG Portfolio'!$E$17+'SG Portfolio'!$E$18+'SG Portfolio'!$E$19))+((J18)+(L18)+'SG Portfolio'!$E$18+'SG Portfolio'!$H$18+'SG Portfolio'!$E$19+'SG Portfolio'!$H$19))</f>
        <v>16880.998265434566</v>
      </c>
      <c r="X18" s="95"/>
      <c r="Y18" s="95"/>
    </row>
    <row r="19" spans="4:25" x14ac:dyDescent="0.25">
      <c r="D19" s="91"/>
      <c r="E19" s="91"/>
      <c r="F19" s="92"/>
      <c r="G19" s="93"/>
      <c r="H19" s="93"/>
      <c r="I19" s="93"/>
      <c r="J19" s="93"/>
      <c r="K19" s="93"/>
      <c r="L19" s="94"/>
      <c r="M19" s="95"/>
      <c r="N19" s="95"/>
      <c r="O19" s="95"/>
      <c r="P19" s="94"/>
      <c r="Q19" s="95"/>
      <c r="R19" s="95"/>
      <c r="S19" s="95"/>
      <c r="T19" s="95"/>
      <c r="U19" s="397"/>
      <c r="V19" s="397"/>
      <c r="W19" s="397"/>
      <c r="X19" s="95"/>
      <c r="Y19" s="95"/>
    </row>
    <row r="20" spans="4:25" x14ac:dyDescent="0.25">
      <c r="D20" s="78" t="s">
        <v>10</v>
      </c>
      <c r="E20" s="78" t="s">
        <v>13</v>
      </c>
      <c r="F20" s="81">
        <f>I12</f>
        <v>200.37520000000001</v>
      </c>
      <c r="G20" s="81">
        <v>30</v>
      </c>
      <c r="H20" s="81">
        <v>8.8800000000000008</v>
      </c>
      <c r="I20" s="81">
        <f t="shared" ref="I20:I25" si="20">((F20*G20)+H20)/G20</f>
        <v>200.67120000000003</v>
      </c>
      <c r="J20" s="81">
        <f t="shared" ref="J20:J25" si="21">I20*G20</f>
        <v>6020.1360000000004</v>
      </c>
      <c r="K20" s="141">
        <f>K4</f>
        <v>115.09</v>
      </c>
      <c r="L20" s="76">
        <f>(K20-I20)*G20</f>
        <v>-2567.4360000000006</v>
      </c>
      <c r="M20" s="77">
        <f>L20/J20</f>
        <v>-0.4264747507365283</v>
      </c>
      <c r="N20" s="362">
        <v>280</v>
      </c>
      <c r="O20" s="362">
        <f t="shared" ref="O20:O25" si="22">N20*G20</f>
        <v>8400</v>
      </c>
      <c r="P20" s="76">
        <f>(N20-I20)*G20</f>
        <v>2379.8639999999991</v>
      </c>
      <c r="Q20" s="77">
        <f>P20/J20</f>
        <v>0.3953173150905559</v>
      </c>
      <c r="R20" s="398" t="s">
        <v>218</v>
      </c>
      <c r="S20" s="95"/>
      <c r="T20" s="95"/>
      <c r="U20" s="397"/>
      <c r="V20" s="397"/>
      <c r="W20" s="397"/>
      <c r="X20" s="95"/>
      <c r="Y20" s="95"/>
    </row>
    <row r="21" spans="4:25" x14ac:dyDescent="0.25">
      <c r="D21" s="78" t="s">
        <v>10</v>
      </c>
      <c r="E21" s="78" t="s">
        <v>13</v>
      </c>
      <c r="F21" s="81">
        <f t="shared" ref="F21:F25" si="23">I13</f>
        <v>200.37520000000001</v>
      </c>
      <c r="G21" s="81">
        <v>30</v>
      </c>
      <c r="H21" s="81">
        <v>8.8800000000000008</v>
      </c>
      <c r="I21" s="81">
        <f t="shared" si="20"/>
        <v>200.67120000000003</v>
      </c>
      <c r="J21" s="81">
        <f t="shared" si="21"/>
        <v>6020.1360000000004</v>
      </c>
      <c r="K21" s="141">
        <f>K4</f>
        <v>115.09</v>
      </c>
      <c r="L21" s="76">
        <f t="shared" ref="L21:L25" si="24">(K21-I21)*G21</f>
        <v>-2567.4360000000006</v>
      </c>
      <c r="M21" s="77">
        <f t="shared" ref="M21:M25" si="25">L21/J21</f>
        <v>-0.4264747507365283</v>
      </c>
      <c r="N21" s="362">
        <v>290</v>
      </c>
      <c r="O21" s="362">
        <f t="shared" si="22"/>
        <v>8700</v>
      </c>
      <c r="P21" s="76">
        <f t="shared" ref="P21:P25" si="26">(N21-I21)*G21</f>
        <v>2679.8639999999991</v>
      </c>
      <c r="Q21" s="77">
        <f t="shared" ref="Q21:Q25" si="27">P21/J21</f>
        <v>0.44515007634379006</v>
      </c>
      <c r="R21" s="398" t="s">
        <v>218</v>
      </c>
      <c r="S21" s="95"/>
      <c r="T21" s="95"/>
      <c r="U21" s="397"/>
      <c r="V21" s="397"/>
      <c r="W21" s="397"/>
      <c r="X21" s="95"/>
      <c r="Y21" s="95"/>
    </row>
    <row r="22" spans="4:25" x14ac:dyDescent="0.25">
      <c r="D22" s="78" t="s">
        <v>10</v>
      </c>
      <c r="E22" s="78" t="s">
        <v>13</v>
      </c>
      <c r="F22" s="81">
        <f t="shared" si="23"/>
        <v>200.37520000000001</v>
      </c>
      <c r="G22" s="81">
        <v>40</v>
      </c>
      <c r="H22" s="81">
        <v>8.8800000000000008</v>
      </c>
      <c r="I22" s="81">
        <f t="shared" si="20"/>
        <v>200.59719999999999</v>
      </c>
      <c r="J22" s="81">
        <f t="shared" si="21"/>
        <v>8023.887999999999</v>
      </c>
      <c r="K22" s="141">
        <f>K5</f>
        <v>115.09</v>
      </c>
      <c r="L22" s="76">
        <f t="shared" si="24"/>
        <v>-3420.2879999999996</v>
      </c>
      <c r="M22" s="77">
        <f t="shared" si="25"/>
        <v>-0.42626317815004394</v>
      </c>
      <c r="N22" s="362">
        <v>300</v>
      </c>
      <c r="O22" s="362">
        <f t="shared" si="22"/>
        <v>12000</v>
      </c>
      <c r="P22" s="76">
        <f t="shared" si="26"/>
        <v>3976.1120000000005</v>
      </c>
      <c r="Q22" s="77">
        <f t="shared" si="27"/>
        <v>0.49553433447725104</v>
      </c>
      <c r="R22" s="398" t="s">
        <v>218</v>
      </c>
      <c r="S22" s="95"/>
      <c r="T22" s="95"/>
      <c r="U22" s="397"/>
      <c r="V22" s="397"/>
      <c r="W22" s="397"/>
      <c r="X22" s="95"/>
      <c r="Y22" s="95"/>
    </row>
    <row r="23" spans="4:25" x14ac:dyDescent="0.25">
      <c r="D23" s="78" t="s">
        <v>10</v>
      </c>
      <c r="E23" s="78" t="s">
        <v>13</v>
      </c>
      <c r="F23" s="81">
        <f t="shared" si="23"/>
        <v>200.37520000000001</v>
      </c>
      <c r="G23" s="81"/>
      <c r="H23" s="81"/>
      <c r="I23" s="81" t="e">
        <f t="shared" si="20"/>
        <v>#DIV/0!</v>
      </c>
      <c r="J23" s="81" t="e">
        <f t="shared" si="21"/>
        <v>#DIV/0!</v>
      </c>
      <c r="K23" s="141">
        <f>K5</f>
        <v>115.09</v>
      </c>
      <c r="L23" s="76" t="e">
        <f t="shared" si="24"/>
        <v>#DIV/0!</v>
      </c>
      <c r="M23" s="77" t="e">
        <f t="shared" si="25"/>
        <v>#DIV/0!</v>
      </c>
      <c r="N23" s="362">
        <v>280</v>
      </c>
      <c r="O23" s="362">
        <f t="shared" si="22"/>
        <v>0</v>
      </c>
      <c r="P23" s="76" t="e">
        <f t="shared" si="26"/>
        <v>#DIV/0!</v>
      </c>
      <c r="Q23" s="77" t="e">
        <f t="shared" si="27"/>
        <v>#DIV/0!</v>
      </c>
      <c r="R23" s="398" t="s">
        <v>218</v>
      </c>
      <c r="S23" s="95"/>
      <c r="T23" s="95"/>
      <c r="U23" s="397"/>
      <c r="V23" s="397"/>
      <c r="W23" s="397"/>
      <c r="X23" s="95"/>
      <c r="Y23" s="95"/>
    </row>
    <row r="24" spans="4:25" x14ac:dyDescent="0.25">
      <c r="D24" s="78" t="s">
        <v>10</v>
      </c>
      <c r="E24" s="78" t="s">
        <v>13</v>
      </c>
      <c r="F24" s="81">
        <f t="shared" si="23"/>
        <v>200.37520000000001</v>
      </c>
      <c r="G24" s="81"/>
      <c r="H24" s="81"/>
      <c r="I24" s="81" t="e">
        <f t="shared" si="20"/>
        <v>#DIV/0!</v>
      </c>
      <c r="J24" s="81" t="e">
        <f t="shared" si="21"/>
        <v>#DIV/0!</v>
      </c>
      <c r="K24" s="141">
        <f t="shared" ref="K24" si="28">K9</f>
        <v>115.09</v>
      </c>
      <c r="L24" s="76" t="e">
        <f t="shared" si="24"/>
        <v>#DIV/0!</v>
      </c>
      <c r="M24" s="77" t="e">
        <f t="shared" si="25"/>
        <v>#DIV/0!</v>
      </c>
      <c r="N24" s="362">
        <v>290</v>
      </c>
      <c r="O24" s="362">
        <f t="shared" si="22"/>
        <v>0</v>
      </c>
      <c r="P24" s="76" t="e">
        <f t="shared" si="26"/>
        <v>#DIV/0!</v>
      </c>
      <c r="Q24" s="77" t="e">
        <f t="shared" si="27"/>
        <v>#DIV/0!</v>
      </c>
      <c r="R24" s="398" t="s">
        <v>218</v>
      </c>
      <c r="S24" s="95"/>
      <c r="T24" s="95"/>
      <c r="U24" s="397"/>
      <c r="V24" s="397"/>
      <c r="W24" s="397"/>
      <c r="X24" s="95"/>
      <c r="Y24" s="95"/>
    </row>
    <row r="25" spans="4:25" x14ac:dyDescent="0.25">
      <c r="D25" s="78" t="s">
        <v>10</v>
      </c>
      <c r="E25" s="78" t="s">
        <v>13</v>
      </c>
      <c r="F25" s="81">
        <f t="shared" si="23"/>
        <v>200.37520000000001</v>
      </c>
      <c r="G25" s="81"/>
      <c r="H25" s="81"/>
      <c r="I25" s="81" t="e">
        <f t="shared" si="20"/>
        <v>#DIV/0!</v>
      </c>
      <c r="J25" s="81" t="e">
        <f t="shared" si="21"/>
        <v>#DIV/0!</v>
      </c>
      <c r="K25" s="141">
        <f>K5</f>
        <v>115.09</v>
      </c>
      <c r="L25" s="76" t="e">
        <f t="shared" si="24"/>
        <v>#DIV/0!</v>
      </c>
      <c r="M25" s="77" t="e">
        <f t="shared" si="25"/>
        <v>#DIV/0!</v>
      </c>
      <c r="N25" s="362">
        <v>300</v>
      </c>
      <c r="O25" s="362">
        <f t="shared" si="22"/>
        <v>0</v>
      </c>
      <c r="P25" s="76" t="e">
        <f t="shared" si="26"/>
        <v>#DIV/0!</v>
      </c>
      <c r="Q25" s="77" t="e">
        <f t="shared" si="27"/>
        <v>#DIV/0!</v>
      </c>
      <c r="R25" s="361" t="s">
        <v>218</v>
      </c>
      <c r="S25" s="95"/>
      <c r="T25" s="95"/>
      <c r="U25" s="397"/>
      <c r="V25" s="397"/>
      <c r="W25" s="397"/>
      <c r="X25" s="95"/>
      <c r="Y25" s="95"/>
    </row>
    <row r="26" spans="4:25" x14ac:dyDescent="0.25">
      <c r="D26" s="91"/>
      <c r="E26" s="91"/>
      <c r="F26" s="92"/>
      <c r="G26" s="93"/>
      <c r="H26" s="93"/>
      <c r="I26" s="93"/>
      <c r="J26" s="93"/>
      <c r="K26" s="93"/>
      <c r="L26" s="94"/>
      <c r="M26" s="95"/>
      <c r="N26" s="95"/>
      <c r="O26" s="95"/>
      <c r="P26" s="94"/>
      <c r="Q26" s="95"/>
      <c r="R26" s="95"/>
      <c r="S26" s="95"/>
      <c r="T26" s="95"/>
      <c r="U26" s="397"/>
      <c r="V26" s="397"/>
      <c r="W26" s="397"/>
      <c r="X26" s="95"/>
      <c r="Y26" s="95"/>
    </row>
    <row r="27" spans="4:25" x14ac:dyDescent="0.25">
      <c r="D27" s="91"/>
      <c r="E27" s="91"/>
      <c r="F27" s="92"/>
      <c r="G27" s="93"/>
      <c r="H27" s="93"/>
      <c r="I27" s="93"/>
      <c r="J27" s="93"/>
      <c r="K27" s="93"/>
      <c r="L27" s="94"/>
      <c r="M27" s="95"/>
      <c r="N27" s="95"/>
      <c r="O27" s="95"/>
      <c r="P27" s="94"/>
      <c r="Q27" s="95"/>
      <c r="R27" s="95"/>
      <c r="S27" s="95"/>
      <c r="T27" s="95"/>
      <c r="U27" s="397"/>
      <c r="V27" s="397"/>
      <c r="W27" s="397"/>
      <c r="X27" s="95"/>
      <c r="Y27" s="95"/>
    </row>
    <row r="28" spans="4:25" x14ac:dyDescent="0.25">
      <c r="E28" s="91"/>
      <c r="F28" s="92"/>
      <c r="G28" s="93"/>
      <c r="H28" s="93"/>
      <c r="I28" s="93"/>
      <c r="J28" s="93"/>
      <c r="K28" s="93"/>
      <c r="L28" s="94"/>
      <c r="M28" s="95"/>
      <c r="N28" s="95"/>
      <c r="O28" s="91"/>
      <c r="P28" s="407"/>
      <c r="Q28" s="408"/>
      <c r="R28" s="408"/>
      <c r="S28" s="95"/>
      <c r="T28" s="95"/>
      <c r="W28" s="397"/>
      <c r="X28" s="95"/>
      <c r="Y28" s="95"/>
    </row>
    <row r="29" spans="4:25" x14ac:dyDescent="0.25">
      <c r="P29" s="289"/>
      <c r="X29" s="95"/>
      <c r="Y29" s="95"/>
    </row>
    <row r="30" spans="4:25" x14ac:dyDescent="0.25">
      <c r="P30" s="289"/>
    </row>
    <row r="33" spans="5:16" x14ac:dyDescent="0.25">
      <c r="E33" s="46"/>
      <c r="F33" s="46"/>
      <c r="G33" s="445" t="s">
        <v>290</v>
      </c>
      <c r="H33" s="445" t="s">
        <v>269</v>
      </c>
      <c r="I33" s="445" t="s">
        <v>272</v>
      </c>
      <c r="J33" s="445" t="s">
        <v>270</v>
      </c>
      <c r="K33" s="445" t="s">
        <v>271</v>
      </c>
      <c r="L33" s="445" t="s">
        <v>43</v>
      </c>
      <c r="M33" s="445" t="s">
        <v>44</v>
      </c>
      <c r="N33" s="445" t="s">
        <v>65</v>
      </c>
      <c r="O33" s="445" t="s">
        <v>45</v>
      </c>
      <c r="P33" s="445" t="s">
        <v>46</v>
      </c>
    </row>
    <row r="34" spans="5:16" x14ac:dyDescent="0.25">
      <c r="E34" s="46" t="s">
        <v>291</v>
      </c>
      <c r="F34" s="46"/>
      <c r="G34" s="200">
        <v>83071</v>
      </c>
      <c r="H34" s="200">
        <f>G34/5</f>
        <v>16614.2</v>
      </c>
      <c r="I34" s="200">
        <f>H34/13</f>
        <v>1278.0153846153846</v>
      </c>
      <c r="J34" s="394">
        <v>232</v>
      </c>
      <c r="K34" s="394">
        <v>221.32</v>
      </c>
      <c r="L34" s="394">
        <v>226.58</v>
      </c>
      <c r="M34" s="394">
        <v>227.23</v>
      </c>
      <c r="N34" s="394">
        <v>229.9</v>
      </c>
      <c r="O34" s="394">
        <v>231.75</v>
      </c>
      <c r="P34" s="394">
        <v>245.46</v>
      </c>
    </row>
    <row r="35" spans="5:16" x14ac:dyDescent="0.25">
      <c r="E35" s="46" t="s">
        <v>244</v>
      </c>
      <c r="F35" s="46"/>
      <c r="G35" s="200"/>
      <c r="H35" s="200">
        <v>19763</v>
      </c>
      <c r="I35" s="200">
        <f>H35/13</f>
        <v>1520.2307692307693</v>
      </c>
      <c r="J35" s="394">
        <v>225.07</v>
      </c>
      <c r="K35" s="394">
        <v>224.85</v>
      </c>
      <c r="L35" s="46"/>
      <c r="M35" s="46"/>
      <c r="N35" s="46"/>
      <c r="O35" s="46"/>
      <c r="P35" s="46"/>
    </row>
  </sheetData>
  <pageMargins left="0.7" right="0.7"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3DA1-7736-40BB-BD78-D58876D67018}">
  <sheetPr>
    <tabColor rgb="FF00B0F0"/>
  </sheetPr>
  <dimension ref="B2:X64"/>
  <sheetViews>
    <sheetView showGridLines="0" workbookViewId="0">
      <selection activeCell="I64" sqref="I64"/>
    </sheetView>
  </sheetViews>
  <sheetFormatPr defaultColWidth="9.140625" defaultRowHeight="15" x14ac:dyDescent="0.25"/>
  <cols>
    <col min="1" max="1" width="9.140625" style="39"/>
    <col min="2" max="2" width="33" style="39" bestFit="1" customWidth="1"/>
    <col min="3" max="3" width="10.5703125" style="39" bestFit="1" customWidth="1"/>
    <col min="4" max="4" width="9.5703125" style="39" bestFit="1" customWidth="1"/>
    <col min="5" max="5" width="9.7109375" style="39" bestFit="1" customWidth="1"/>
    <col min="6" max="6" width="13.42578125" style="39" bestFit="1" customWidth="1"/>
    <col min="7" max="12" width="10.5703125" style="39" bestFit="1" customWidth="1"/>
    <col min="13" max="13" width="10.7109375" style="39" bestFit="1" customWidth="1"/>
    <col min="14" max="17" width="10.5703125" style="39" bestFit="1" customWidth="1"/>
    <col min="18" max="18" width="10.7109375" style="39" bestFit="1" customWidth="1"/>
    <col min="19" max="24" width="10.5703125" style="39" bestFit="1" customWidth="1"/>
    <col min="25" max="16384" width="9.140625" style="39"/>
  </cols>
  <sheetData>
    <row r="2" spans="2:24" x14ac:dyDescent="0.25">
      <c r="B2" s="39" t="e" vm="127">
        <v>#VALUE!</v>
      </c>
      <c r="H2" s="323"/>
    </row>
    <row r="3" spans="2:24" x14ac:dyDescent="0.25">
      <c r="B3" s="569"/>
      <c r="C3" s="432">
        <v>2021</v>
      </c>
      <c r="D3" s="570">
        <v>2020</v>
      </c>
      <c r="E3" s="571"/>
      <c r="F3" s="571"/>
      <c r="G3" s="572"/>
      <c r="H3" s="570">
        <v>2019</v>
      </c>
      <c r="I3" s="571"/>
      <c r="J3" s="571"/>
      <c r="K3" s="572"/>
      <c r="L3" s="570">
        <v>2018</v>
      </c>
      <c r="M3" s="571"/>
      <c r="N3" s="571"/>
      <c r="O3" s="572"/>
      <c r="P3" s="570">
        <v>2017</v>
      </c>
      <c r="Q3" s="571"/>
      <c r="R3" s="571"/>
      <c r="S3" s="572"/>
      <c r="T3" s="570">
        <v>2016</v>
      </c>
      <c r="U3" s="571"/>
      <c r="V3" s="571"/>
      <c r="W3" s="572"/>
      <c r="X3" s="432" t="s">
        <v>246</v>
      </c>
    </row>
    <row r="4" spans="2:24" x14ac:dyDescent="0.25">
      <c r="B4" s="568"/>
      <c r="C4" s="432" t="s">
        <v>244</v>
      </c>
      <c r="D4" s="432" t="s">
        <v>232</v>
      </c>
      <c r="E4" s="432" t="s">
        <v>231</v>
      </c>
      <c r="F4" s="432" t="s">
        <v>230</v>
      </c>
      <c r="G4" s="432" t="s">
        <v>229</v>
      </c>
      <c r="H4" s="432" t="s">
        <v>232</v>
      </c>
      <c r="I4" s="432" t="s">
        <v>231</v>
      </c>
      <c r="J4" s="432" t="s">
        <v>230</v>
      </c>
      <c r="K4" s="432" t="s">
        <v>229</v>
      </c>
      <c r="L4" s="432" t="s">
        <v>232</v>
      </c>
      <c r="M4" s="432" t="s">
        <v>231</v>
      </c>
      <c r="N4" s="432" t="s">
        <v>230</v>
      </c>
      <c r="O4" s="432" t="s">
        <v>229</v>
      </c>
      <c r="P4" s="432" t="s">
        <v>232</v>
      </c>
      <c r="Q4" s="432" t="s">
        <v>231</v>
      </c>
      <c r="R4" s="432" t="s">
        <v>230</v>
      </c>
      <c r="S4" s="432" t="s">
        <v>229</v>
      </c>
      <c r="T4" s="432" t="s">
        <v>232</v>
      </c>
      <c r="U4" s="432" t="s">
        <v>231</v>
      </c>
      <c r="V4" s="432" t="s">
        <v>230</v>
      </c>
      <c r="W4" s="432" t="s">
        <v>229</v>
      </c>
      <c r="X4" s="432"/>
    </row>
    <row r="5" spans="2:24" x14ac:dyDescent="0.25">
      <c r="B5" s="46" t="s">
        <v>233</v>
      </c>
      <c r="C5" s="388" cm="1">
        <f t="array" ref="C5">_FV(B2,"Price")</f>
        <v>115.09</v>
      </c>
      <c r="D5" s="388">
        <v>232.73</v>
      </c>
      <c r="E5" s="388">
        <v>304.69</v>
      </c>
      <c r="F5" s="388">
        <v>251.02</v>
      </c>
      <c r="G5" s="388">
        <v>202.67</v>
      </c>
      <c r="H5" s="388">
        <v>212.1</v>
      </c>
      <c r="I5" s="388">
        <v>176.67</v>
      </c>
      <c r="J5" s="388">
        <v>173.11</v>
      </c>
      <c r="K5" s="388">
        <v>185.57</v>
      </c>
      <c r="L5" s="388">
        <v>137.07</v>
      </c>
      <c r="M5" s="388">
        <v>142.28</v>
      </c>
      <c r="N5" s="388">
        <v>187.23</v>
      </c>
      <c r="O5" s="388">
        <v>178.54</v>
      </c>
      <c r="P5" s="388">
        <v>172.43</v>
      </c>
      <c r="Q5" s="388">
        <v>184.89</v>
      </c>
      <c r="R5" s="388">
        <v>154.94999999999999</v>
      </c>
      <c r="S5" s="388">
        <v>115.5</v>
      </c>
      <c r="T5" s="388">
        <v>87.81</v>
      </c>
      <c r="U5" s="388">
        <v>101.69</v>
      </c>
      <c r="V5" s="388">
        <v>82.48</v>
      </c>
      <c r="W5" s="388">
        <v>76.94</v>
      </c>
      <c r="X5" s="46"/>
    </row>
    <row r="6" spans="2:24" x14ac:dyDescent="0.25">
      <c r="B6" s="46" t="s">
        <v>236</v>
      </c>
      <c r="C6" s="388" cm="1">
        <f t="array" ref="C6">_FV(B2,"Shares outstanding",TRUE)/1000000</f>
        <v>2718.1790000000001</v>
      </c>
      <c r="D6" s="388">
        <v>2767</v>
      </c>
      <c r="E6" s="388">
        <v>2745</v>
      </c>
      <c r="F6" s="388">
        <v>2741</v>
      </c>
      <c r="G6" s="388">
        <v>2668</v>
      </c>
      <c r="H6" s="388">
        <v>2674</v>
      </c>
      <c r="I6" s="388">
        <v>2637</v>
      </c>
      <c r="J6" s="388">
        <v>2634</v>
      </c>
      <c r="K6" s="388">
        <v>2623</v>
      </c>
      <c r="L6" s="388">
        <v>2614</v>
      </c>
      <c r="M6" s="388">
        <v>2628</v>
      </c>
      <c r="N6" s="388">
        <v>2627</v>
      </c>
      <c r="O6" s="388">
        <v>2610</v>
      </c>
      <c r="P6" s="388">
        <v>2615</v>
      </c>
      <c r="Q6" s="388">
        <v>2607</v>
      </c>
      <c r="R6" s="388">
        <v>2599</v>
      </c>
      <c r="S6" s="388">
        <v>2573</v>
      </c>
      <c r="T6" s="388">
        <v>2571</v>
      </c>
      <c r="U6" s="388">
        <v>2566</v>
      </c>
      <c r="V6" s="388">
        <v>2568</v>
      </c>
      <c r="W6" s="388">
        <v>2562</v>
      </c>
      <c r="X6" s="389">
        <f>AVERAGE(D6:W6)</f>
        <v>2631.45</v>
      </c>
    </row>
    <row r="7" spans="2:24" x14ac:dyDescent="0.25">
      <c r="B7" s="151" t="s">
        <v>222</v>
      </c>
      <c r="C7" s="390">
        <f>C5*C6/1000</f>
        <v>312.83522111000002</v>
      </c>
      <c r="D7" s="390">
        <f>D5*D6/1000</f>
        <v>643.96390999999994</v>
      </c>
      <c r="E7" s="390">
        <f t="shared" ref="E7:W7" si="0">E5*E6/1000</f>
        <v>836.37405000000001</v>
      </c>
      <c r="F7" s="390">
        <f t="shared" si="0"/>
        <v>688.04582000000005</v>
      </c>
      <c r="G7" s="390">
        <f t="shared" si="0"/>
        <v>540.72355999999991</v>
      </c>
      <c r="H7" s="390">
        <f t="shared" si="0"/>
        <v>567.15539999999999</v>
      </c>
      <c r="I7" s="390">
        <f t="shared" si="0"/>
        <v>465.87878999999998</v>
      </c>
      <c r="J7" s="390">
        <f t="shared" si="0"/>
        <v>455.97174000000007</v>
      </c>
      <c r="K7" s="390">
        <f t="shared" si="0"/>
        <v>486.75011000000001</v>
      </c>
      <c r="L7" s="390">
        <f t="shared" si="0"/>
        <v>358.30097999999998</v>
      </c>
      <c r="M7" s="390">
        <f t="shared" si="0"/>
        <v>373.91184000000004</v>
      </c>
      <c r="N7" s="390">
        <f t="shared" si="0"/>
        <v>491.85320999999999</v>
      </c>
      <c r="O7" s="390">
        <f t="shared" si="0"/>
        <v>465.98939999999999</v>
      </c>
      <c r="P7" s="390">
        <f t="shared" si="0"/>
        <v>450.90445</v>
      </c>
      <c r="Q7" s="390">
        <f t="shared" si="0"/>
        <v>482.00822999999997</v>
      </c>
      <c r="R7" s="390">
        <f t="shared" si="0"/>
        <v>402.71504999999996</v>
      </c>
      <c r="S7" s="390">
        <f t="shared" si="0"/>
        <v>297.18150000000003</v>
      </c>
      <c r="T7" s="390">
        <f t="shared" si="0"/>
        <v>225.75951000000001</v>
      </c>
      <c r="U7" s="390">
        <f t="shared" si="0"/>
        <v>260.93654000000004</v>
      </c>
      <c r="V7" s="390">
        <f t="shared" si="0"/>
        <v>211.80864000000003</v>
      </c>
      <c r="W7" s="390">
        <f t="shared" si="0"/>
        <v>197.12028000000001</v>
      </c>
      <c r="X7" s="151"/>
    </row>
    <row r="8" spans="2:24" x14ac:dyDescent="0.25">
      <c r="B8" s="96"/>
      <c r="C8" s="391"/>
      <c r="D8" s="391"/>
      <c r="E8" s="391"/>
      <c r="F8" s="391"/>
      <c r="G8" s="391"/>
      <c r="H8" s="391"/>
      <c r="I8" s="391"/>
      <c r="J8" s="391"/>
      <c r="K8" s="391"/>
      <c r="L8" s="391"/>
      <c r="M8" s="391"/>
      <c r="N8" s="391"/>
      <c r="O8" s="391"/>
      <c r="P8" s="391"/>
      <c r="Q8" s="391"/>
      <c r="R8" s="391"/>
      <c r="S8" s="391"/>
      <c r="T8" s="391"/>
      <c r="U8" s="391"/>
      <c r="V8" s="391"/>
      <c r="W8" s="391"/>
      <c r="X8" s="199"/>
    </row>
    <row r="9" spans="2:24" x14ac:dyDescent="0.25">
      <c r="B9" s="51" t="s">
        <v>249</v>
      </c>
      <c r="C9" s="392"/>
      <c r="D9" s="392">
        <v>93.88</v>
      </c>
      <c r="E9" s="392">
        <v>83.19</v>
      </c>
      <c r="F9" s="392">
        <v>77.010000000000005</v>
      </c>
      <c r="G9" s="392">
        <v>71.989999999999995</v>
      </c>
      <c r="H9" s="392">
        <v>71.05</v>
      </c>
      <c r="I9" s="392">
        <v>64.92</v>
      </c>
      <c r="J9" s="392">
        <v>60.66</v>
      </c>
      <c r="K9" s="392">
        <v>56.15</v>
      </c>
      <c r="L9" s="392">
        <v>53.13</v>
      </c>
      <c r="M9" s="392">
        <v>48.84</v>
      </c>
      <c r="N9" s="392">
        <v>44.72</v>
      </c>
      <c r="O9" s="392">
        <v>39.9</v>
      </c>
      <c r="P9" s="392">
        <v>33.79</v>
      </c>
      <c r="Q9" s="392">
        <v>28.7</v>
      </c>
      <c r="R9" s="392">
        <v>25.56</v>
      </c>
      <c r="S9" s="392">
        <v>22.99</v>
      </c>
      <c r="T9" s="392">
        <v>21.25</v>
      </c>
      <c r="U9" s="392">
        <v>18.91</v>
      </c>
      <c r="V9" s="392">
        <v>17.260000000000002</v>
      </c>
      <c r="W9" s="392">
        <v>15.69</v>
      </c>
      <c r="X9" s="51"/>
    </row>
    <row r="10" spans="2:24" x14ac:dyDescent="0.25">
      <c r="B10" s="51"/>
      <c r="C10" s="392"/>
      <c r="D10" s="393">
        <f>(D9-E9)/E9</f>
        <v>0.12850102175742276</v>
      </c>
      <c r="E10" s="393">
        <f t="shared" ref="E10:V10" si="1">(E9-F9)/F9</f>
        <v>8.0249318270354392E-2</v>
      </c>
      <c r="F10" s="393">
        <f t="shared" si="1"/>
        <v>6.9731907209334781E-2</v>
      </c>
      <c r="G10" s="393">
        <f t="shared" si="1"/>
        <v>1.323011963406049E-2</v>
      </c>
      <c r="H10" s="393">
        <f t="shared" si="1"/>
        <v>9.4423906346272263E-2</v>
      </c>
      <c r="I10" s="393">
        <f t="shared" si="1"/>
        <v>7.022749752720088E-2</v>
      </c>
      <c r="J10" s="393">
        <f t="shared" si="1"/>
        <v>8.0320569902048056E-2</v>
      </c>
      <c r="K10" s="393">
        <f t="shared" si="1"/>
        <v>5.684170901562198E-2</v>
      </c>
      <c r="L10" s="393">
        <f t="shared" si="1"/>
        <v>8.7837837837837815E-2</v>
      </c>
      <c r="M10" s="393">
        <f t="shared" si="1"/>
        <v>9.2128801431127116E-2</v>
      </c>
      <c r="N10" s="393">
        <f t="shared" si="1"/>
        <v>0.12080200501253134</v>
      </c>
      <c r="O10" s="393">
        <f t="shared" si="1"/>
        <v>0.18082272861793428</v>
      </c>
      <c r="P10" s="393">
        <f t="shared" si="1"/>
        <v>0.17735191637630662</v>
      </c>
      <c r="Q10" s="393">
        <f t="shared" si="1"/>
        <v>0.12284820031298907</v>
      </c>
      <c r="R10" s="393">
        <f t="shared" si="1"/>
        <v>0.1117877337973032</v>
      </c>
      <c r="S10" s="393">
        <f t="shared" si="1"/>
        <v>8.1882352941176392E-2</v>
      </c>
      <c r="T10" s="393">
        <f t="shared" si="1"/>
        <v>0.12374405076679006</v>
      </c>
      <c r="U10" s="393">
        <f t="shared" si="1"/>
        <v>9.5596755504055525E-2</v>
      </c>
      <c r="V10" s="393">
        <f t="shared" si="1"/>
        <v>0.10006373486297018</v>
      </c>
      <c r="W10" s="392"/>
      <c r="X10" s="63">
        <f>AVERAGE(D10:V10)</f>
        <v>9.938906142754407E-2</v>
      </c>
    </row>
    <row r="11" spans="2:24" x14ac:dyDescent="0.25">
      <c r="B11" s="46" t="s">
        <v>234</v>
      </c>
      <c r="C11" s="388"/>
      <c r="D11" s="388">
        <v>40.229999999999997</v>
      </c>
      <c r="E11" s="388">
        <v>36.01</v>
      </c>
      <c r="F11" s="388">
        <v>33.9</v>
      </c>
      <c r="G11" s="388">
        <v>32.11</v>
      </c>
      <c r="H11" s="388">
        <v>32.46</v>
      </c>
      <c r="I11" s="388">
        <v>29.6</v>
      </c>
      <c r="J11" s="388">
        <v>27.7</v>
      </c>
      <c r="K11" s="388">
        <v>25.32</v>
      </c>
      <c r="L11" s="388">
        <v>25.08</v>
      </c>
      <c r="M11" s="388">
        <v>24.24</v>
      </c>
      <c r="N11" s="388">
        <v>23.63</v>
      </c>
      <c r="O11" s="388">
        <v>22.83</v>
      </c>
      <c r="P11" s="388">
        <v>20.37</v>
      </c>
      <c r="Q11" s="388">
        <v>17.91</v>
      </c>
      <c r="R11" s="388">
        <v>16.11</v>
      </c>
      <c r="S11" s="388">
        <v>14.35</v>
      </c>
      <c r="T11" s="388">
        <v>13.33</v>
      </c>
      <c r="U11" s="388">
        <v>12.06</v>
      </c>
      <c r="V11" s="388">
        <v>11.25</v>
      </c>
      <c r="W11" s="388">
        <v>10.36</v>
      </c>
      <c r="X11" s="46"/>
    </row>
    <row r="12" spans="2:24" x14ac:dyDescent="0.25">
      <c r="B12" s="46" t="s">
        <v>235</v>
      </c>
      <c r="C12" s="388"/>
      <c r="D12" s="388">
        <v>73.349999999999994</v>
      </c>
      <c r="E12" s="388">
        <v>62.46</v>
      </c>
      <c r="F12" s="388">
        <v>56.71</v>
      </c>
      <c r="G12" s="388">
        <v>53.48</v>
      </c>
      <c r="H12" s="388">
        <v>54.32</v>
      </c>
      <c r="I12" s="388">
        <v>35.69</v>
      </c>
      <c r="J12" s="388">
        <v>33.200000000000003</v>
      </c>
      <c r="K12" s="388">
        <v>31.54</v>
      </c>
      <c r="L12" s="388">
        <v>30.33</v>
      </c>
      <c r="M12" s="388">
        <v>27.58</v>
      </c>
      <c r="N12" s="388">
        <v>28.94</v>
      </c>
      <c r="O12" s="388">
        <v>34.06</v>
      </c>
      <c r="P12" s="388">
        <v>34.97</v>
      </c>
      <c r="Q12" s="388">
        <v>25.24</v>
      </c>
      <c r="R12" s="388">
        <v>22.99</v>
      </c>
      <c r="S12" s="388">
        <v>22.29</v>
      </c>
      <c r="T12" s="388">
        <v>20.57</v>
      </c>
      <c r="U12" s="388">
        <v>16.68</v>
      </c>
      <c r="V12" s="388">
        <v>13.93</v>
      </c>
      <c r="W12" s="388">
        <v>18.149999999999999</v>
      </c>
      <c r="X12" s="46"/>
    </row>
    <row r="13" spans="2:24" x14ac:dyDescent="0.25">
      <c r="B13" s="46" t="s">
        <v>239</v>
      </c>
      <c r="C13" s="388"/>
      <c r="D13" s="63">
        <v>0.42849999999999999</v>
      </c>
      <c r="E13" s="63">
        <v>0.43280000000000002</v>
      </c>
      <c r="F13" s="63">
        <v>0.44030000000000002</v>
      </c>
      <c r="G13" s="63">
        <v>0.44600000000000001</v>
      </c>
      <c r="H13" s="63">
        <v>0.45689999999999997</v>
      </c>
      <c r="I13" s="63">
        <v>0.45590000000000003</v>
      </c>
      <c r="J13" s="63">
        <v>0.45660000000000001</v>
      </c>
      <c r="K13" s="63">
        <v>0.45090000000000002</v>
      </c>
      <c r="L13" s="63">
        <v>0.47199999999999998</v>
      </c>
      <c r="M13" s="63">
        <v>0.49630000000000002</v>
      </c>
      <c r="N13" s="63">
        <v>0.52829999999999999</v>
      </c>
      <c r="O13" s="63">
        <v>0.57230000000000003</v>
      </c>
      <c r="P13" s="63">
        <v>0.60270000000000001</v>
      </c>
      <c r="Q13" s="63">
        <v>0.62409999999999999</v>
      </c>
      <c r="R13" s="63">
        <v>0.63019999999999998</v>
      </c>
      <c r="S13" s="63">
        <v>0.62419999999999998</v>
      </c>
      <c r="T13" s="63">
        <v>0.62719999999999998</v>
      </c>
      <c r="U13" s="63">
        <v>0.63739999999999997</v>
      </c>
      <c r="V13" s="63">
        <v>0.65169999999999995</v>
      </c>
      <c r="W13" s="63">
        <v>0.6603</v>
      </c>
      <c r="X13" s="63">
        <f t="shared" ref="X13:X15" si="2">AVERAGE(D13:W13)</f>
        <v>0.53472999999999993</v>
      </c>
    </row>
    <row r="14" spans="2:24" x14ac:dyDescent="0.25">
      <c r="B14" s="46" t="s">
        <v>247</v>
      </c>
      <c r="C14" s="388"/>
      <c r="D14" s="63">
        <v>0.16250000000000001</v>
      </c>
      <c r="E14" s="63">
        <v>0.1615</v>
      </c>
      <c r="F14" s="63">
        <v>0.18640000000000001</v>
      </c>
      <c r="G14" s="63">
        <v>0.18049999999999999</v>
      </c>
      <c r="H14" s="63">
        <v>0.1913</v>
      </c>
      <c r="I14" s="63">
        <v>0.18190000000000001</v>
      </c>
      <c r="J14" s="63">
        <v>0.17879999999999999</v>
      </c>
      <c r="K14" s="63">
        <v>0.1515</v>
      </c>
      <c r="L14" s="63">
        <v>0.17050000000000001</v>
      </c>
      <c r="M14" s="63">
        <v>0.189</v>
      </c>
      <c r="N14" s="63">
        <v>0.21820000000000001</v>
      </c>
      <c r="O14" s="63">
        <v>0.27889999999999998</v>
      </c>
      <c r="P14" s="63">
        <v>0.30980000000000002</v>
      </c>
      <c r="Q14" s="63">
        <v>0.3266</v>
      </c>
      <c r="R14" s="63">
        <v>0.32229999999999998</v>
      </c>
      <c r="S14" s="63">
        <v>0.30359999999999998</v>
      </c>
      <c r="T14" s="63">
        <v>0.3019</v>
      </c>
      <c r="U14" s="63">
        <v>0.28699999999999998</v>
      </c>
      <c r="V14" s="63">
        <v>0.29420000000000002</v>
      </c>
      <c r="W14" s="63">
        <v>0.29220000000000002</v>
      </c>
      <c r="X14" s="63">
        <f t="shared" si="2"/>
        <v>0.23443</v>
      </c>
    </row>
    <row r="15" spans="2:24" x14ac:dyDescent="0.25">
      <c r="B15" s="46" t="s">
        <v>248</v>
      </c>
      <c r="C15" s="388"/>
      <c r="D15" s="63">
        <v>0.25</v>
      </c>
      <c r="E15" s="63">
        <v>0.2261</v>
      </c>
      <c r="F15" s="63">
        <v>0.32100000000000001</v>
      </c>
      <c r="G15" s="63">
        <v>0.2928</v>
      </c>
      <c r="H15" s="63">
        <v>0.34870000000000001</v>
      </c>
      <c r="I15" s="63">
        <v>0.33989999999999998</v>
      </c>
      <c r="J15" s="63">
        <v>0.24460000000000001</v>
      </c>
      <c r="K15" s="63">
        <v>0.23250000000000001</v>
      </c>
      <c r="L15" s="63">
        <v>0.20169999999999999</v>
      </c>
      <c r="M15" s="63">
        <v>0.1968</v>
      </c>
      <c r="N15" s="63">
        <v>0.20899999999999999</v>
      </c>
      <c r="O15" s="63">
        <v>0.25569999999999998</v>
      </c>
      <c r="P15" s="63">
        <v>0.2964</v>
      </c>
      <c r="Q15" s="63">
        <v>0.30969999999999998</v>
      </c>
      <c r="R15" s="63">
        <v>0.28849999999999998</v>
      </c>
      <c r="S15" s="63">
        <v>0.27589999999999998</v>
      </c>
      <c r="T15" s="63">
        <v>0.25650000000000001</v>
      </c>
      <c r="U15" s="63">
        <v>0.25419999999999998</v>
      </c>
      <c r="V15" s="63">
        <v>0.41970000000000002</v>
      </c>
      <c r="W15" s="63">
        <v>0.70660000000000001</v>
      </c>
      <c r="X15" s="63">
        <f t="shared" si="2"/>
        <v>0.296315</v>
      </c>
    </row>
    <row r="16" spans="2:24" x14ac:dyDescent="0.25">
      <c r="B16" s="96"/>
      <c r="C16" s="391"/>
      <c r="D16" s="391"/>
      <c r="E16" s="391"/>
      <c r="F16" s="391"/>
      <c r="G16" s="391"/>
      <c r="H16" s="391"/>
      <c r="I16" s="391"/>
      <c r="J16" s="391"/>
      <c r="K16" s="391"/>
      <c r="L16" s="391"/>
      <c r="M16" s="391"/>
      <c r="N16" s="391"/>
      <c r="O16" s="391"/>
      <c r="P16" s="391"/>
      <c r="Q16" s="391"/>
      <c r="R16" s="391"/>
      <c r="S16" s="391"/>
      <c r="T16" s="391"/>
      <c r="U16" s="391"/>
      <c r="V16" s="391"/>
      <c r="W16" s="391"/>
      <c r="X16" s="199"/>
    </row>
    <row r="17" spans="2:24" x14ac:dyDescent="0.25">
      <c r="B17" s="46" t="s">
        <v>237</v>
      </c>
      <c r="C17" s="388"/>
      <c r="D17" s="388">
        <v>1.67</v>
      </c>
      <c r="E17" s="388">
        <v>1.99</v>
      </c>
      <c r="F17" s="388">
        <v>1.98</v>
      </c>
      <c r="G17" s="388">
        <v>1.91</v>
      </c>
      <c r="H17" s="388">
        <v>1.75</v>
      </c>
      <c r="I17" s="388">
        <v>1.38</v>
      </c>
      <c r="J17" s="388">
        <v>1.38</v>
      </c>
      <c r="K17" s="388">
        <v>1.3</v>
      </c>
      <c r="L17" s="388">
        <v>1.25</v>
      </c>
      <c r="M17" s="388">
        <v>1.42</v>
      </c>
      <c r="N17" s="388">
        <v>1.44</v>
      </c>
      <c r="O17" s="388">
        <v>1.89</v>
      </c>
      <c r="P17" s="388">
        <v>1.97</v>
      </c>
      <c r="Q17" s="388">
        <v>1.71</v>
      </c>
      <c r="R17" s="388">
        <v>1.74</v>
      </c>
      <c r="S17" s="388">
        <v>1.95</v>
      </c>
      <c r="T17" s="388">
        <v>1.82</v>
      </c>
      <c r="U17" s="388">
        <v>2.02</v>
      </c>
      <c r="V17" s="388">
        <v>1.86</v>
      </c>
      <c r="W17" s="388">
        <v>2.58</v>
      </c>
      <c r="X17" s="46"/>
    </row>
    <row r="18" spans="2:24" x14ac:dyDescent="0.25">
      <c r="B18" s="46" t="s">
        <v>238</v>
      </c>
      <c r="C18" s="388"/>
      <c r="D18" s="388">
        <v>0.52</v>
      </c>
      <c r="E18" s="388">
        <v>0.47</v>
      </c>
      <c r="F18" s="388">
        <v>0.49</v>
      </c>
      <c r="G18" s="388">
        <v>0.51</v>
      </c>
      <c r="H18" s="388">
        <v>0.54</v>
      </c>
      <c r="I18" s="388">
        <v>0.61</v>
      </c>
      <c r="J18" s="388">
        <v>0.6</v>
      </c>
      <c r="K18" s="388">
        <v>0.59</v>
      </c>
      <c r="L18" s="388">
        <v>0.64</v>
      </c>
      <c r="M18" s="388">
        <v>0.67</v>
      </c>
      <c r="N18" s="388">
        <v>0.69</v>
      </c>
      <c r="O18" s="388">
        <v>0.64</v>
      </c>
      <c r="P18" s="388">
        <v>0.67</v>
      </c>
      <c r="Q18" s="388">
        <v>0.57999999999999996</v>
      </c>
      <c r="R18" s="388">
        <v>0.57999999999999996</v>
      </c>
      <c r="S18" s="388">
        <v>0.57999999999999996</v>
      </c>
      <c r="T18" s="388">
        <v>0.6</v>
      </c>
      <c r="U18" s="388">
        <v>0.57999999999999996</v>
      </c>
      <c r="V18" s="388">
        <v>0.57999999999999996</v>
      </c>
      <c r="W18" s="388">
        <v>0.46</v>
      </c>
      <c r="X18" s="46"/>
    </row>
    <row r="19" spans="2:24" x14ac:dyDescent="0.25">
      <c r="B19" s="46" t="s">
        <v>240</v>
      </c>
      <c r="C19" s="388" cm="1">
        <f t="array" ref="C19">_FV(B2,"P/E",TRUE)</f>
        <v>30.642099999999999</v>
      </c>
      <c r="D19" s="388">
        <v>27.48</v>
      </c>
      <c r="E19" s="388">
        <v>42.85</v>
      </c>
      <c r="F19" s="388">
        <v>23.52</v>
      </c>
      <c r="G19" s="388">
        <v>24.62</v>
      </c>
      <c r="H19" s="388">
        <v>22.64</v>
      </c>
      <c r="I19" s="388">
        <v>19.91</v>
      </c>
      <c r="J19" s="388">
        <v>29.94</v>
      </c>
      <c r="K19" s="388">
        <v>36.71</v>
      </c>
      <c r="L19" s="388">
        <v>33.43</v>
      </c>
      <c r="M19" s="388">
        <v>44.89</v>
      </c>
      <c r="N19" s="388">
        <v>51.82</v>
      </c>
      <c r="O19" s="388">
        <v>46.94</v>
      </c>
      <c r="P19" s="388">
        <v>44.9</v>
      </c>
      <c r="Q19" s="388">
        <v>50.35</v>
      </c>
      <c r="R19" s="388">
        <v>49.27</v>
      </c>
      <c r="S19" s="388">
        <v>43.66</v>
      </c>
      <c r="T19" s="388">
        <v>41.03</v>
      </c>
      <c r="U19" s="388">
        <v>55.68</v>
      </c>
      <c r="V19" s="388">
        <v>27.91</v>
      </c>
      <c r="W19" s="388">
        <v>18.25</v>
      </c>
      <c r="X19" s="389">
        <f>AVERAGE(D19:W19)</f>
        <v>36.789999999999992</v>
      </c>
    </row>
    <row r="20" spans="2:24" x14ac:dyDescent="0.25">
      <c r="B20" s="46" t="s">
        <v>241</v>
      </c>
      <c r="C20" s="388"/>
      <c r="D20" s="388">
        <v>6.79</v>
      </c>
      <c r="E20" s="388">
        <v>9.57</v>
      </c>
      <c r="F20" s="388">
        <v>7.52</v>
      </c>
      <c r="G20" s="388">
        <v>7.17</v>
      </c>
      <c r="H20" s="388">
        <v>7.9</v>
      </c>
      <c r="I20" s="388">
        <v>6.77</v>
      </c>
      <c r="J20" s="388">
        <v>7.33</v>
      </c>
      <c r="K20" s="388">
        <v>8.52</v>
      </c>
      <c r="L20" s="388">
        <v>6.76</v>
      </c>
      <c r="M20" s="388">
        <v>8.84</v>
      </c>
      <c r="N20" s="388">
        <v>10.85</v>
      </c>
      <c r="O20" s="388">
        <v>12</v>
      </c>
      <c r="P20" s="388">
        <v>13.28</v>
      </c>
      <c r="Q20" s="388">
        <v>15.58</v>
      </c>
      <c r="R20" s="388">
        <v>14.21</v>
      </c>
      <c r="S20" s="388">
        <v>12.05</v>
      </c>
      <c r="T20" s="388">
        <v>10.61</v>
      </c>
      <c r="U20" s="388">
        <v>14.31</v>
      </c>
      <c r="V20" s="388">
        <v>11.78</v>
      </c>
      <c r="W20" s="388">
        <v>12.9</v>
      </c>
      <c r="X20" s="389">
        <f>AVERAGE(D20:W20)</f>
        <v>10.237</v>
      </c>
    </row>
    <row r="21" spans="2:24" x14ac:dyDescent="0.25">
      <c r="B21" s="46" t="s">
        <v>242</v>
      </c>
      <c r="C21" s="388"/>
      <c r="D21" s="388">
        <v>3.91</v>
      </c>
      <c r="E21" s="388">
        <v>5.63</v>
      </c>
      <c r="F21" s="388">
        <v>4.54</v>
      </c>
      <c r="G21" s="388">
        <v>4.22</v>
      </c>
      <c r="H21" s="388">
        <v>4.5999999999999996</v>
      </c>
      <c r="I21" s="388">
        <v>4.38</v>
      </c>
      <c r="J21" s="388">
        <v>4.8</v>
      </c>
      <c r="K21" s="388">
        <v>5.28</v>
      </c>
      <c r="L21" s="388">
        <v>4.3899999999999997</v>
      </c>
      <c r="M21" s="388">
        <v>6</v>
      </c>
      <c r="N21" s="388">
        <v>6.82</v>
      </c>
      <c r="O21" s="388">
        <v>6.88</v>
      </c>
      <c r="P21" s="388">
        <v>6.87</v>
      </c>
      <c r="Q21" s="388">
        <v>8.16</v>
      </c>
      <c r="R21" s="388">
        <v>7.22</v>
      </c>
      <c r="S21" s="388">
        <v>5.95</v>
      </c>
      <c r="T21" s="388">
        <v>5.12</v>
      </c>
      <c r="U21" s="388">
        <v>6.26</v>
      </c>
      <c r="V21" s="388">
        <v>5.25</v>
      </c>
      <c r="W21" s="388">
        <v>5.23</v>
      </c>
      <c r="X21" s="389">
        <f>AVERAGE(D21:W21)</f>
        <v>5.5755000000000008</v>
      </c>
    </row>
    <row r="22" spans="2:24" x14ac:dyDescent="0.25">
      <c r="B22" s="46" t="s">
        <v>243</v>
      </c>
      <c r="C22" s="388"/>
      <c r="D22" s="388">
        <v>8.4700000000000006</v>
      </c>
      <c r="E22" s="388">
        <v>6.86</v>
      </c>
      <c r="F22" s="388">
        <v>9.17</v>
      </c>
      <c r="G22" s="388">
        <v>7.9</v>
      </c>
      <c r="H22" s="388">
        <v>9.3699999999999992</v>
      </c>
      <c r="I22" s="388">
        <v>8.4</v>
      </c>
      <c r="J22" s="388">
        <v>5.66</v>
      </c>
      <c r="K22" s="388">
        <v>4.97</v>
      </c>
      <c r="L22" s="388">
        <v>4.0999999999999996</v>
      </c>
      <c r="M22" s="388">
        <v>3.67</v>
      </c>
      <c r="N22" s="388">
        <v>3.58</v>
      </c>
      <c r="O22" s="388">
        <v>3.91</v>
      </c>
      <c r="P22" s="388">
        <v>3.84</v>
      </c>
      <c r="Q22" s="388">
        <v>3.43</v>
      </c>
      <c r="R22" s="388">
        <v>2.86</v>
      </c>
      <c r="S22" s="388">
        <v>2.4700000000000002</v>
      </c>
      <c r="T22" s="388">
        <v>2.14</v>
      </c>
      <c r="U22" s="388">
        <v>1.9</v>
      </c>
      <c r="V22" s="388">
        <v>2.85</v>
      </c>
      <c r="W22" s="388">
        <v>4.33</v>
      </c>
      <c r="X22" s="46"/>
    </row>
    <row r="23" spans="2:24" x14ac:dyDescent="0.25">
      <c r="B23" s="46" t="s">
        <v>245</v>
      </c>
      <c r="C23" s="46"/>
      <c r="D23" s="63">
        <v>0.1673</v>
      </c>
      <c r="E23" s="63">
        <v>0.1447</v>
      </c>
      <c r="F23" s="63">
        <v>0.20710000000000001</v>
      </c>
      <c r="G23" s="63">
        <v>0.19159999999999999</v>
      </c>
      <c r="H23" s="63">
        <v>0.24299999999999999</v>
      </c>
      <c r="I23" s="63">
        <v>0.2412</v>
      </c>
      <c r="J23" s="63">
        <v>0.1759</v>
      </c>
      <c r="K23" s="63">
        <v>0.1653</v>
      </c>
      <c r="L23" s="63">
        <v>0.1454</v>
      </c>
      <c r="M23" s="63">
        <v>0.13789999999999999</v>
      </c>
      <c r="N23" s="63">
        <v>0.14280000000000001</v>
      </c>
      <c r="O23" s="63">
        <v>0.16930000000000001</v>
      </c>
      <c r="P23" s="63">
        <v>0.1837</v>
      </c>
      <c r="Q23" s="63">
        <v>0.18079999999999999</v>
      </c>
      <c r="R23" s="63">
        <v>0.15959999999999999</v>
      </c>
      <c r="S23" s="63">
        <v>0.1467</v>
      </c>
      <c r="T23" s="63">
        <v>0.1321</v>
      </c>
      <c r="U23" s="63">
        <v>0.1208</v>
      </c>
      <c r="V23" s="63">
        <v>0.19189999999999999</v>
      </c>
      <c r="W23" s="63">
        <v>0.31269999999999998</v>
      </c>
      <c r="X23" s="63">
        <f>AVERAGE(D23:W23)</f>
        <v>0.17799000000000001</v>
      </c>
    </row>
    <row r="25" spans="2:24" x14ac:dyDescent="0.25">
      <c r="B25" s="46" t="e" vm="135">
        <v>#VALUE!</v>
      </c>
      <c r="C25" s="200" cm="1">
        <f t="array" ref="C25">_FV(B25,"Price")</f>
        <v>14354.902</v>
      </c>
      <c r="D25" s="200">
        <v>12888</v>
      </c>
      <c r="E25" s="200">
        <v>11052</v>
      </c>
      <c r="F25" s="200">
        <v>10905</v>
      </c>
      <c r="G25" s="200">
        <v>9000</v>
      </c>
      <c r="H25" s="200">
        <v>8991</v>
      </c>
      <c r="I25" s="200">
        <v>8151</v>
      </c>
      <c r="J25" s="200">
        <v>8174</v>
      </c>
      <c r="K25" s="200">
        <v>7953</v>
      </c>
      <c r="L25" s="200">
        <v>6907</v>
      </c>
      <c r="M25" s="200">
        <v>8336</v>
      </c>
      <c r="N25" s="200">
        <v>7795</v>
      </c>
      <c r="O25" s="200">
        <v>7402</v>
      </c>
      <c r="P25" s="200">
        <v>7324</v>
      </c>
      <c r="Q25" s="200">
        <v>6885</v>
      </c>
      <c r="R25" s="200">
        <v>6557</v>
      </c>
      <c r="S25" s="200">
        <v>6343</v>
      </c>
      <c r="T25" s="200">
        <v>5829</v>
      </c>
      <c r="U25" s="200">
        <v>5752</v>
      </c>
      <c r="V25" s="200">
        <v>5254</v>
      </c>
      <c r="W25" s="200">
        <v>5347</v>
      </c>
      <c r="X25" s="46"/>
    </row>
    <row r="26" spans="2:24" x14ac:dyDescent="0.25">
      <c r="C26" s="39">
        <v>25.1</v>
      </c>
      <c r="D26" s="39">
        <v>23.8</v>
      </c>
      <c r="W26" s="39">
        <v>20.02</v>
      </c>
    </row>
    <row r="29" spans="2:24" x14ac:dyDescent="0.25">
      <c r="M29" s="582" t="s">
        <v>268</v>
      </c>
      <c r="N29" s="582"/>
      <c r="O29" s="582"/>
    </row>
    <row r="30" spans="2:24" x14ac:dyDescent="0.25">
      <c r="B30" s="46"/>
      <c r="C30" s="432" t="s">
        <v>244</v>
      </c>
      <c r="D30" s="432" t="s">
        <v>252</v>
      </c>
      <c r="E30" s="432" t="s">
        <v>253</v>
      </c>
      <c r="F30" s="432" t="s">
        <v>250</v>
      </c>
      <c r="G30" s="432" t="s">
        <v>289</v>
      </c>
      <c r="H30" s="432" t="s">
        <v>287</v>
      </c>
      <c r="I30" s="432" t="s">
        <v>288</v>
      </c>
    </row>
    <row r="31" spans="2:24" x14ac:dyDescent="0.25">
      <c r="B31" s="46" t="s">
        <v>251</v>
      </c>
      <c r="C31" s="394">
        <f>'BABA Analysis'!C19</f>
        <v>30.642099999999999</v>
      </c>
      <c r="D31" s="395">
        <f>D32/'BABA Analysis'!D22</f>
        <v>26.918536009445099</v>
      </c>
      <c r="E31" s="321">
        <f>E32/'BABA Analysis'!D22</f>
        <v>30.106257378984651</v>
      </c>
      <c r="F31" s="394">
        <f>AVERAGE('BABA Analysis'!D19:O19)</f>
        <v>33.729166666666664</v>
      </c>
      <c r="G31" s="394">
        <f>G32/'BABA Analysis'!D22</f>
        <v>26.634583333333332</v>
      </c>
      <c r="H31" s="394">
        <v>19.54</v>
      </c>
      <c r="I31" s="394">
        <f>G19</f>
        <v>24.62</v>
      </c>
      <c r="M31" s="432" t="s">
        <v>17</v>
      </c>
      <c r="N31" s="432" t="s">
        <v>233</v>
      </c>
      <c r="O31" s="432" t="s">
        <v>266</v>
      </c>
      <c r="P31" s="432" t="s">
        <v>267</v>
      </c>
    </row>
    <row r="32" spans="2:24" x14ac:dyDescent="0.25">
      <c r="B32" s="46" t="s">
        <v>233</v>
      </c>
      <c r="C32" s="394">
        <f>'BABA Analysis'!C5</f>
        <v>115.09</v>
      </c>
      <c r="D32" s="395">
        <v>228</v>
      </c>
      <c r="E32" s="321">
        <v>255</v>
      </c>
      <c r="F32" s="394">
        <f>F31*'BABA Analysis'!D22</f>
        <v>285.68604166666665</v>
      </c>
      <c r="G32" s="394">
        <f>AVERAGE(H32,F32)</f>
        <v>225.59492083333333</v>
      </c>
      <c r="H32" s="394">
        <f>H31*'BABA Analysis'!$D$22</f>
        <v>165.50380000000001</v>
      </c>
      <c r="I32" s="394">
        <f>I31*'BABA Analysis'!$D$22</f>
        <v>208.53140000000002</v>
      </c>
      <c r="M32" s="406">
        <v>43265</v>
      </c>
      <c r="N32" s="394">
        <v>210.86</v>
      </c>
      <c r="O32" s="46"/>
      <c r="P32" s="46"/>
    </row>
    <row r="33" spans="2:16" x14ac:dyDescent="0.25">
      <c r="C33" s="73">
        <f>(C32-D32)/D32</f>
        <v>-0.495219298245614</v>
      </c>
      <c r="D33" s="73">
        <f>(D32-C32)/C32</f>
        <v>0.9810583021982795</v>
      </c>
      <c r="E33" s="73">
        <f>(E32-D32)/D32</f>
        <v>0.11842105263157894</v>
      </c>
      <c r="F33" s="73">
        <f>(F32-$D$32)/$D$32</f>
        <v>0.25300895467836254</v>
      </c>
      <c r="G33" s="73">
        <f>(G32-$D$32)/$D$32</f>
        <v>-1.0548592836257311E-2</v>
      </c>
      <c r="H33" s="73">
        <f>(H32-$D$32)/$D$32</f>
        <v>-0.27410614035087716</v>
      </c>
      <c r="I33" s="73">
        <f>(I32-$D$32)/$D$32</f>
        <v>-8.5388596491227986E-2</v>
      </c>
      <c r="M33" s="406">
        <v>43468</v>
      </c>
      <c r="N33" s="394">
        <v>130.6</v>
      </c>
      <c r="O33" s="303">
        <f>(N33-N32)/N32</f>
        <v>-0.38063169875746949</v>
      </c>
      <c r="P33" s="309">
        <f t="shared" ref="P33:P39" si="3">M33-M32</f>
        <v>203</v>
      </c>
    </row>
    <row r="34" spans="2:16" x14ac:dyDescent="0.25">
      <c r="D34" s="343"/>
      <c r="E34" s="73">
        <f>(E32-C32)/C32</f>
        <v>1.2156573116691285</v>
      </c>
      <c r="M34" s="406">
        <v>43843</v>
      </c>
      <c r="N34" s="394">
        <v>230.48</v>
      </c>
      <c r="O34" s="46"/>
      <c r="P34" s="46">
        <f t="shared" si="3"/>
        <v>375</v>
      </c>
    </row>
    <row r="35" spans="2:16" x14ac:dyDescent="0.25">
      <c r="M35" s="406">
        <v>43913</v>
      </c>
      <c r="N35" s="394">
        <v>176.34</v>
      </c>
      <c r="O35" s="303">
        <f>(N35-N34)/N34</f>
        <v>-0.23490107601527244</v>
      </c>
      <c r="P35" s="309">
        <f t="shared" si="3"/>
        <v>70</v>
      </c>
    </row>
    <row r="36" spans="2:16" x14ac:dyDescent="0.25">
      <c r="B36" s="96" t="s">
        <v>262</v>
      </c>
      <c r="C36" s="420">
        <v>148.03</v>
      </c>
      <c r="D36" s="98"/>
      <c r="E36" s="98"/>
      <c r="F36" s="98"/>
      <c r="G36" s="98"/>
      <c r="H36" s="98"/>
      <c r="I36" s="199"/>
      <c r="M36" s="406">
        <v>44124</v>
      </c>
      <c r="N36" s="394">
        <v>309.81</v>
      </c>
      <c r="O36" s="303"/>
      <c r="P36" s="309">
        <f t="shared" si="3"/>
        <v>211</v>
      </c>
    </row>
    <row r="37" spans="2:16" x14ac:dyDescent="0.25">
      <c r="B37" s="46" t="s">
        <v>233</v>
      </c>
      <c r="C37" s="394">
        <f>C32</f>
        <v>115.09</v>
      </c>
      <c r="D37" s="389">
        <f>D32</f>
        <v>228</v>
      </c>
      <c r="E37" s="389">
        <f t="shared" ref="E37:I37" si="4">E32</f>
        <v>255</v>
      </c>
      <c r="F37" s="389">
        <f t="shared" si="4"/>
        <v>285.68604166666665</v>
      </c>
      <c r="G37" s="389">
        <f t="shared" si="4"/>
        <v>225.59492083333333</v>
      </c>
      <c r="H37" s="389">
        <f t="shared" si="4"/>
        <v>165.50380000000001</v>
      </c>
      <c r="I37" s="389">
        <f t="shared" si="4"/>
        <v>208.53140000000002</v>
      </c>
      <c r="M37" s="406">
        <v>44189</v>
      </c>
      <c r="N37" s="394">
        <v>222</v>
      </c>
      <c r="O37" s="303">
        <f>(N37-N36)/N36</f>
        <v>-0.28343178076885833</v>
      </c>
      <c r="P37" s="309">
        <f t="shared" si="3"/>
        <v>65</v>
      </c>
    </row>
    <row r="38" spans="2:16" x14ac:dyDescent="0.25">
      <c r="B38" s="46" t="s">
        <v>256</v>
      </c>
      <c r="C38" s="394">
        <f>C37/$C$36</f>
        <v>0.77747753833682365</v>
      </c>
      <c r="D38" s="394">
        <f t="shared" ref="D38:I38" si="5">D37/$C$36</f>
        <v>1.5402283320948456</v>
      </c>
      <c r="E38" s="394">
        <f t="shared" si="5"/>
        <v>1.7226237924744985</v>
      </c>
      <c r="F38" s="394">
        <f t="shared" si="5"/>
        <v>1.9299198923641603</v>
      </c>
      <c r="G38" s="394">
        <f t="shared" si="5"/>
        <v>1.5239810905447093</v>
      </c>
      <c r="H38" s="394">
        <f t="shared" si="5"/>
        <v>1.1180422887252586</v>
      </c>
      <c r="I38" s="394">
        <f t="shared" si="5"/>
        <v>1.4087103965412417</v>
      </c>
      <c r="L38" s="101"/>
      <c r="M38" s="406">
        <v>44243</v>
      </c>
      <c r="N38" s="394">
        <v>270.7</v>
      </c>
      <c r="O38" s="46"/>
      <c r="P38" s="46">
        <f t="shared" si="3"/>
        <v>54</v>
      </c>
    </row>
    <row r="39" spans="2:16" x14ac:dyDescent="0.25">
      <c r="B39" s="96" t="s">
        <v>257</v>
      </c>
      <c r="C39" s="98"/>
      <c r="D39" s="98"/>
      <c r="E39" s="98"/>
      <c r="F39" s="315"/>
      <c r="G39" s="98"/>
      <c r="H39" s="98"/>
      <c r="I39" s="199"/>
      <c r="M39" s="406">
        <f ca="1">TODAY()</f>
        <v>44649</v>
      </c>
      <c r="N39" s="394">
        <f>C5</f>
        <v>115.09</v>
      </c>
      <c r="O39" s="303">
        <f>(N39-N38)/N38</f>
        <v>-0.57484299963058738</v>
      </c>
      <c r="P39" s="46">
        <f t="shared" ca="1" si="3"/>
        <v>406</v>
      </c>
    </row>
    <row r="40" spans="2:16" x14ac:dyDescent="0.25">
      <c r="B40" s="416" t="s">
        <v>258</v>
      </c>
      <c r="C40" s="54">
        <v>1.56</v>
      </c>
      <c r="D40" s="417">
        <f>C40*$C$36</f>
        <v>230.92680000000001</v>
      </c>
      <c r="E40" s="54"/>
      <c r="F40" s="315" t="s">
        <v>64</v>
      </c>
      <c r="G40" s="425">
        <f>D40/$D$22</f>
        <v>27.264085005903187</v>
      </c>
      <c r="H40" s="54"/>
      <c r="I40" s="248"/>
      <c r="M40" s="304"/>
      <c r="N40" s="424">
        <f>N38*(1+O40)</f>
        <v>193.97501694587004</v>
      </c>
      <c r="O40" s="99">
        <f>MEDIAN(O33,O35,O37)</f>
        <v>-0.28343178076885833</v>
      </c>
      <c r="P40" s="46"/>
    </row>
    <row r="41" spans="2:16" x14ac:dyDescent="0.25">
      <c r="B41" s="416" t="s">
        <v>259</v>
      </c>
      <c r="C41" s="54">
        <v>2.5499999999999998</v>
      </c>
      <c r="D41" s="417">
        <f t="shared" ref="D41:D43" si="6">C41*$C$36</f>
        <v>377.47649999999999</v>
      </c>
      <c r="E41" s="54"/>
      <c r="F41" s="54" t="s">
        <v>64</v>
      </c>
      <c r="G41" s="425">
        <f t="shared" ref="G41:G43" si="7">D41/$D$22</f>
        <v>44.566292798110972</v>
      </c>
      <c r="H41" s="54"/>
      <c r="I41" s="248"/>
      <c r="M41" s="101"/>
    </row>
    <row r="42" spans="2:16" x14ac:dyDescent="0.25">
      <c r="B42" s="416" t="s">
        <v>260</v>
      </c>
      <c r="C42" s="54">
        <v>4.37</v>
      </c>
      <c r="D42" s="417">
        <f t="shared" si="6"/>
        <v>646.89110000000005</v>
      </c>
      <c r="E42" s="54"/>
      <c r="F42" s="54" t="s">
        <v>64</v>
      </c>
      <c r="G42" s="425">
        <f t="shared" si="7"/>
        <v>76.374391971664693</v>
      </c>
      <c r="H42" s="54"/>
      <c r="I42" s="248"/>
    </row>
    <row r="43" spans="2:16" x14ac:dyDescent="0.25">
      <c r="B43" s="418" t="s">
        <v>261</v>
      </c>
      <c r="C43" s="192">
        <v>0.98</v>
      </c>
      <c r="D43" s="419">
        <f t="shared" si="6"/>
        <v>145.0694</v>
      </c>
      <c r="E43" s="192"/>
      <c r="F43" s="192" t="s">
        <v>64</v>
      </c>
      <c r="G43" s="426">
        <f t="shared" si="7"/>
        <v>17.127438016528924</v>
      </c>
      <c r="H43" s="192"/>
      <c r="I43" s="145"/>
    </row>
    <row r="46" spans="2:16" x14ac:dyDescent="0.25">
      <c r="B46" s="96" t="s">
        <v>264</v>
      </c>
      <c r="C46" s="420">
        <v>477.31</v>
      </c>
      <c r="D46" s="98"/>
      <c r="E46" s="98"/>
      <c r="F46" s="98"/>
      <c r="G46" s="98"/>
      <c r="H46" s="98"/>
      <c r="I46" s="199"/>
    </row>
    <row r="47" spans="2:16" x14ac:dyDescent="0.25">
      <c r="B47" s="46" t="s">
        <v>233</v>
      </c>
      <c r="C47" s="394">
        <f>C32</f>
        <v>115.09</v>
      </c>
      <c r="D47" s="389">
        <f>D32</f>
        <v>228</v>
      </c>
      <c r="E47" s="389">
        <f t="shared" ref="E47:I47" si="8">E32</f>
        <v>255</v>
      </c>
      <c r="F47" s="389">
        <f t="shared" si="8"/>
        <v>285.68604166666665</v>
      </c>
      <c r="G47" s="389">
        <f t="shared" si="8"/>
        <v>225.59492083333333</v>
      </c>
      <c r="H47" s="389">
        <f t="shared" si="8"/>
        <v>165.50380000000001</v>
      </c>
      <c r="I47" s="389">
        <f t="shared" si="8"/>
        <v>208.53140000000002</v>
      </c>
    </row>
    <row r="48" spans="2:16" x14ac:dyDescent="0.25">
      <c r="B48" s="46" t="s">
        <v>263</v>
      </c>
      <c r="C48" s="50">
        <f>($C$46-C47)/$C$46</f>
        <v>0.75887787810856677</v>
      </c>
      <c r="D48" s="50">
        <f t="shared" ref="D48:I48" si="9">($C$46-D47)/$C$46</f>
        <v>0.52232301858331065</v>
      </c>
      <c r="E48" s="50">
        <f t="shared" si="9"/>
        <v>0.46575600762607111</v>
      </c>
      <c r="F48" s="50">
        <f t="shared" si="9"/>
        <v>0.40146646484115844</v>
      </c>
      <c r="G48" s="50">
        <f t="shared" si="9"/>
        <v>0.52736183856752772</v>
      </c>
      <c r="H48" s="50">
        <f t="shared" si="9"/>
        <v>0.65325721229389699</v>
      </c>
      <c r="I48" s="50">
        <f t="shared" si="9"/>
        <v>0.56311118560264817</v>
      </c>
    </row>
    <row r="51" spans="2:13" x14ac:dyDescent="0.25">
      <c r="B51" s="96" t="s">
        <v>265</v>
      </c>
      <c r="C51" s="420">
        <v>360.81</v>
      </c>
      <c r="D51" s="98"/>
      <c r="E51" s="98"/>
      <c r="F51" s="98"/>
      <c r="G51" s="98"/>
      <c r="H51" s="98"/>
      <c r="I51" s="199"/>
    </row>
    <row r="52" spans="2:13" x14ac:dyDescent="0.25">
      <c r="B52" s="46" t="s">
        <v>233</v>
      </c>
      <c r="C52" s="394">
        <f>C32</f>
        <v>115.09</v>
      </c>
      <c r="D52" s="389">
        <f>D32</f>
        <v>228</v>
      </c>
      <c r="E52" s="389">
        <f t="shared" ref="E52:I52" si="10">E32</f>
        <v>255</v>
      </c>
      <c r="F52" s="389">
        <f t="shared" si="10"/>
        <v>285.68604166666665</v>
      </c>
      <c r="G52" s="389">
        <f t="shared" si="10"/>
        <v>225.59492083333333</v>
      </c>
      <c r="H52" s="389">
        <f t="shared" si="10"/>
        <v>165.50380000000001</v>
      </c>
      <c r="I52" s="389">
        <f t="shared" si="10"/>
        <v>208.53140000000002</v>
      </c>
    </row>
    <row r="53" spans="2:13" x14ac:dyDescent="0.25">
      <c r="B53" s="46" t="s">
        <v>263</v>
      </c>
      <c r="C53" s="50">
        <f>($C$51-C52)/$C$51</f>
        <v>0.68102325323577506</v>
      </c>
      <c r="D53" s="50">
        <f t="shared" ref="D53:I53" si="11">($C$51-D52)/$C$51</f>
        <v>0.36808846761453395</v>
      </c>
      <c r="E53" s="50">
        <f t="shared" si="11"/>
        <v>0.293256838779413</v>
      </c>
      <c r="F53" s="50">
        <f t="shared" si="11"/>
        <v>0.208209191356485</v>
      </c>
      <c r="G53" s="50">
        <f t="shared" si="11"/>
        <v>0.37475424507820365</v>
      </c>
      <c r="H53" s="50">
        <f t="shared" si="11"/>
        <v>0.54129929879992233</v>
      </c>
      <c r="I53" s="50">
        <f t="shared" si="11"/>
        <v>0.42204650647155006</v>
      </c>
    </row>
    <row r="54" spans="2:13" x14ac:dyDescent="0.25">
      <c r="B54" s="96" t="s">
        <v>257</v>
      </c>
      <c r="C54" s="98"/>
      <c r="D54" s="98"/>
      <c r="E54" s="98"/>
      <c r="F54" s="98"/>
      <c r="G54" s="98"/>
      <c r="H54" s="98"/>
      <c r="I54" s="199"/>
    </row>
    <row r="55" spans="2:13" x14ac:dyDescent="0.25">
      <c r="B55" s="416" t="s">
        <v>244</v>
      </c>
      <c r="C55" s="397">
        <f>C52/$C$51</f>
        <v>0.31897674676422494</v>
      </c>
      <c r="D55" s="54"/>
      <c r="E55" s="54"/>
      <c r="F55" s="54"/>
      <c r="G55" s="54"/>
      <c r="H55" s="54"/>
      <c r="I55" s="248"/>
    </row>
    <row r="56" spans="2:13" x14ac:dyDescent="0.25">
      <c r="B56" s="416" t="s">
        <v>258</v>
      </c>
      <c r="C56" s="397">
        <v>0.63</v>
      </c>
      <c r="D56" s="417">
        <f>C56*$C$51</f>
        <v>227.31030000000001</v>
      </c>
      <c r="E56" s="54"/>
      <c r="F56" s="54"/>
      <c r="G56" s="54"/>
      <c r="H56" s="54"/>
      <c r="I56" s="248"/>
    </row>
    <row r="57" spans="2:13" x14ac:dyDescent="0.25">
      <c r="B57" s="416" t="s">
        <v>259</v>
      </c>
      <c r="C57" s="397">
        <v>1.35</v>
      </c>
      <c r="D57" s="417">
        <f t="shared" ref="D57:D59" si="12">C57*$C$51</f>
        <v>487.09350000000006</v>
      </c>
      <c r="E57" s="54"/>
      <c r="F57" s="54"/>
      <c r="G57" s="54"/>
      <c r="H57" s="54"/>
      <c r="I57" s="248"/>
    </row>
    <row r="58" spans="2:13" x14ac:dyDescent="0.25">
      <c r="B58" s="416" t="s">
        <v>260</v>
      </c>
      <c r="C58" s="397">
        <v>1.92</v>
      </c>
      <c r="D58" s="417">
        <f t="shared" si="12"/>
        <v>692.75519999999995</v>
      </c>
      <c r="E58" s="54"/>
      <c r="F58" s="54"/>
      <c r="G58" s="54"/>
      <c r="H58" s="54"/>
      <c r="I58" s="248"/>
    </row>
    <row r="59" spans="2:13" x14ac:dyDescent="0.25">
      <c r="B59" s="418" t="s">
        <v>261</v>
      </c>
      <c r="C59" s="421">
        <v>1.37</v>
      </c>
      <c r="D59" s="419">
        <f t="shared" si="12"/>
        <v>494.30970000000002</v>
      </c>
      <c r="E59" s="192"/>
      <c r="F59" s="192"/>
      <c r="G59" s="192"/>
      <c r="H59" s="192"/>
      <c r="I59" s="145"/>
    </row>
    <row r="62" spans="2:13" x14ac:dyDescent="0.25">
      <c r="B62" s="46"/>
      <c r="C62" s="46"/>
      <c r="D62" s="434" t="s">
        <v>290</v>
      </c>
      <c r="E62" s="434" t="s">
        <v>269</v>
      </c>
      <c r="F62" s="434" t="s">
        <v>272</v>
      </c>
      <c r="G62" s="434" t="s">
        <v>270</v>
      </c>
      <c r="H62" s="434" t="s">
        <v>271</v>
      </c>
      <c r="I62" s="434" t="s">
        <v>43</v>
      </c>
      <c r="J62" s="434" t="s">
        <v>44</v>
      </c>
      <c r="K62" s="434" t="s">
        <v>65</v>
      </c>
      <c r="L62" s="434" t="s">
        <v>45</v>
      </c>
      <c r="M62" s="434" t="s">
        <v>46</v>
      </c>
    </row>
    <row r="63" spans="2:13" x14ac:dyDescent="0.25">
      <c r="B63" s="46" t="s">
        <v>291</v>
      </c>
      <c r="C63" s="46"/>
      <c r="D63" s="200">
        <v>63965</v>
      </c>
      <c r="E63" s="200">
        <f>D63/5</f>
        <v>12793</v>
      </c>
      <c r="F63" s="200">
        <f>E63/13</f>
        <v>984.07692307692309</v>
      </c>
      <c r="G63" s="394">
        <v>229.3</v>
      </c>
      <c r="H63" s="394">
        <v>213</v>
      </c>
      <c r="I63" s="394">
        <v>223.88</v>
      </c>
      <c r="J63" s="394">
        <v>227.98</v>
      </c>
      <c r="K63" s="394">
        <v>231.05</v>
      </c>
      <c r="L63" s="394">
        <v>230.67</v>
      </c>
      <c r="M63" s="394">
        <v>235.43</v>
      </c>
    </row>
    <row r="64" spans="2:13" x14ac:dyDescent="0.25">
      <c r="B64" s="46" t="s">
        <v>244</v>
      </c>
      <c r="C64" s="46"/>
      <c r="D64" s="200"/>
      <c r="E64" s="200">
        <v>13887</v>
      </c>
      <c r="F64" s="200">
        <f>E64/13</f>
        <v>1068.2307692307693</v>
      </c>
      <c r="G64" s="394">
        <v>221.39</v>
      </c>
      <c r="H64" s="394">
        <v>213</v>
      </c>
      <c r="I64" s="46"/>
      <c r="J64" s="46"/>
      <c r="K64" s="46"/>
      <c r="L64" s="46"/>
      <c r="M64" s="46"/>
    </row>
  </sheetData>
  <mergeCells count="7">
    <mergeCell ref="P3:S3"/>
    <mergeCell ref="T3:W3"/>
    <mergeCell ref="M29:O29"/>
    <mergeCell ref="B3:B4"/>
    <mergeCell ref="D3:G3"/>
    <mergeCell ref="H3:K3"/>
    <mergeCell ref="L3:O3"/>
  </mergeCells>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E6AF-619D-4E70-AF16-114B17DF866E}">
  <sheetPr>
    <tabColor rgb="FF00B0F0"/>
  </sheetPr>
  <dimension ref="B2:X64"/>
  <sheetViews>
    <sheetView showGridLines="0" workbookViewId="0">
      <selection activeCell="L59" sqref="L59"/>
    </sheetView>
  </sheetViews>
  <sheetFormatPr defaultColWidth="9.140625" defaultRowHeight="15" x14ac:dyDescent="0.25"/>
  <cols>
    <col min="1" max="1" width="9.140625" style="39"/>
    <col min="2" max="2" width="33" style="39" bestFit="1" customWidth="1"/>
    <col min="3" max="3" width="10.5703125" style="39" bestFit="1" customWidth="1"/>
    <col min="4" max="4" width="9.5703125" style="39" bestFit="1" customWidth="1"/>
    <col min="5" max="5" width="9.7109375" style="39" bestFit="1" customWidth="1"/>
    <col min="6" max="6" width="13.42578125" style="39" bestFit="1" customWidth="1"/>
    <col min="7" max="12" width="10.5703125" style="39" bestFit="1" customWidth="1"/>
    <col min="13" max="13" width="10.7109375" style="39" bestFit="1" customWidth="1"/>
    <col min="14" max="17" width="10.5703125" style="39" bestFit="1" customWidth="1"/>
    <col min="18" max="18" width="10.7109375" style="39" bestFit="1" customWidth="1"/>
    <col min="19" max="24" width="10.5703125" style="39" bestFit="1" customWidth="1"/>
    <col min="25" max="16384" width="9.140625" style="39"/>
  </cols>
  <sheetData>
    <row r="2" spans="2:24" x14ac:dyDescent="0.25">
      <c r="B2" s="39" t="e" vm="126">
        <v>#VALUE!</v>
      </c>
      <c r="H2" s="323"/>
    </row>
    <row r="3" spans="2:24" x14ac:dyDescent="0.25">
      <c r="B3" s="569"/>
      <c r="C3" s="444">
        <v>2021</v>
      </c>
      <c r="D3" s="570">
        <v>2020</v>
      </c>
      <c r="E3" s="571"/>
      <c r="F3" s="571"/>
      <c r="G3" s="572"/>
      <c r="H3" s="570">
        <v>2019</v>
      </c>
      <c r="I3" s="571"/>
      <c r="J3" s="571"/>
      <c r="K3" s="572"/>
      <c r="L3" s="570">
        <v>2018</v>
      </c>
      <c r="M3" s="571"/>
      <c r="N3" s="571"/>
      <c r="O3" s="572"/>
      <c r="P3" s="570">
        <v>2017</v>
      </c>
      <c r="Q3" s="571"/>
      <c r="R3" s="571"/>
      <c r="S3" s="572"/>
      <c r="T3" s="570">
        <v>2016</v>
      </c>
      <c r="U3" s="571"/>
      <c r="V3" s="571"/>
      <c r="W3" s="572"/>
      <c r="X3" s="444" t="s">
        <v>246</v>
      </c>
    </row>
    <row r="4" spans="2:24" x14ac:dyDescent="0.25">
      <c r="B4" s="568"/>
      <c r="C4" s="444" t="s">
        <v>244</v>
      </c>
      <c r="D4" s="444" t="s">
        <v>232</v>
      </c>
      <c r="E4" s="444" t="s">
        <v>231</v>
      </c>
      <c r="F4" s="444" t="s">
        <v>230</v>
      </c>
      <c r="G4" s="444" t="s">
        <v>229</v>
      </c>
      <c r="H4" s="444" t="s">
        <v>232</v>
      </c>
      <c r="I4" s="444" t="s">
        <v>231</v>
      </c>
      <c r="J4" s="444" t="s">
        <v>230</v>
      </c>
      <c r="K4" s="444" t="s">
        <v>229</v>
      </c>
      <c r="L4" s="444" t="s">
        <v>232</v>
      </c>
      <c r="M4" s="444" t="s">
        <v>231</v>
      </c>
      <c r="N4" s="444" t="s">
        <v>230</v>
      </c>
      <c r="O4" s="444" t="s">
        <v>229</v>
      </c>
      <c r="P4" s="444" t="s">
        <v>232</v>
      </c>
      <c r="Q4" s="444" t="s">
        <v>231</v>
      </c>
      <c r="R4" s="444" t="s">
        <v>230</v>
      </c>
      <c r="S4" s="444" t="s">
        <v>229</v>
      </c>
      <c r="T4" s="444" t="s">
        <v>232</v>
      </c>
      <c r="U4" s="444" t="s">
        <v>231</v>
      </c>
      <c r="V4" s="444" t="s">
        <v>230</v>
      </c>
      <c r="W4" s="444" t="s">
        <v>229</v>
      </c>
      <c r="X4" s="444"/>
    </row>
    <row r="5" spans="2:24" x14ac:dyDescent="0.25">
      <c r="B5" s="46" t="s">
        <v>233</v>
      </c>
      <c r="C5" s="388" cm="1">
        <f t="array" ref="C5">_FV(B2,"Price")</f>
        <v>146</v>
      </c>
      <c r="D5" s="388">
        <v>143.63</v>
      </c>
      <c r="E5" s="388">
        <v>138.24</v>
      </c>
      <c r="F5" s="388">
        <v>128.4</v>
      </c>
      <c r="G5" s="388">
        <v>120.08</v>
      </c>
      <c r="H5" s="388">
        <v>116.37</v>
      </c>
      <c r="I5" s="388">
        <v>114.82</v>
      </c>
      <c r="J5" s="388">
        <v>107.55</v>
      </c>
      <c r="K5" s="388">
        <v>99.68</v>
      </c>
      <c r="L5" s="388">
        <v>89.31</v>
      </c>
      <c r="M5" s="388">
        <v>96.15</v>
      </c>
      <c r="N5" s="388">
        <v>85.06</v>
      </c>
      <c r="O5" s="388">
        <v>83.8</v>
      </c>
      <c r="P5" s="388">
        <v>92.51</v>
      </c>
      <c r="Q5" s="388">
        <v>81.790000000000006</v>
      </c>
      <c r="R5" s="388">
        <v>74.459999999999994</v>
      </c>
      <c r="S5" s="388">
        <v>70.45</v>
      </c>
      <c r="T5" s="388">
        <v>63</v>
      </c>
      <c r="U5" s="388">
        <v>63.82</v>
      </c>
      <c r="V5" s="388">
        <v>66.06</v>
      </c>
      <c r="W5" s="388">
        <v>60.09</v>
      </c>
      <c r="X5" s="46"/>
    </row>
    <row r="6" spans="2:24" x14ac:dyDescent="0.25">
      <c r="B6" s="46" t="s">
        <v>236</v>
      </c>
      <c r="C6" s="388" cm="1">
        <f t="array" ref="C6">_FV(B2,"Shares outstanding",TRUE)/1000000</f>
        <v>2751.78</v>
      </c>
      <c r="D6" s="388">
        <v>2849</v>
      </c>
      <c r="E6" s="388">
        <v>2848</v>
      </c>
      <c r="F6" s="388">
        <v>2849</v>
      </c>
      <c r="G6" s="388">
        <v>2868</v>
      </c>
      <c r="H6" s="388">
        <v>2861</v>
      </c>
      <c r="I6" s="388">
        <v>2869</v>
      </c>
      <c r="J6" s="388">
        <v>2886</v>
      </c>
      <c r="K6" s="388">
        <v>2945</v>
      </c>
      <c r="L6" s="388">
        <v>2941</v>
      </c>
      <c r="M6" s="388">
        <v>2946</v>
      </c>
      <c r="N6" s="388">
        <v>2967</v>
      </c>
      <c r="O6" s="388">
        <v>3010</v>
      </c>
      <c r="P6" s="388">
        <v>2996</v>
      </c>
      <c r="Q6" s="388">
        <v>3021</v>
      </c>
      <c r="R6" s="388">
        <v>3047</v>
      </c>
      <c r="S6" s="388">
        <v>3112</v>
      </c>
      <c r="T6" s="388">
        <v>3100</v>
      </c>
      <c r="U6" s="388">
        <v>3119</v>
      </c>
      <c r="V6" s="388">
        <v>3154</v>
      </c>
      <c r="W6" s="388">
        <v>3217</v>
      </c>
      <c r="X6" s="389">
        <f>AVERAGE(D6:W6)</f>
        <v>2980.25</v>
      </c>
    </row>
    <row r="7" spans="2:24" x14ac:dyDescent="0.25">
      <c r="B7" s="151" t="s">
        <v>222</v>
      </c>
      <c r="C7" s="390">
        <f>C5*C6/1000</f>
        <v>401.75988000000001</v>
      </c>
      <c r="D7" s="390">
        <f>D5*D6/1000</f>
        <v>409.20186999999999</v>
      </c>
      <c r="E7" s="390">
        <f t="shared" ref="E7:W7" si="0">E5*E6/1000</f>
        <v>393.70752000000005</v>
      </c>
      <c r="F7" s="390">
        <f t="shared" si="0"/>
        <v>365.81160000000006</v>
      </c>
      <c r="G7" s="390">
        <f t="shared" si="0"/>
        <v>344.38943999999998</v>
      </c>
      <c r="H7" s="390">
        <f t="shared" si="0"/>
        <v>332.93457000000001</v>
      </c>
      <c r="I7" s="390">
        <f t="shared" si="0"/>
        <v>329.41857999999996</v>
      </c>
      <c r="J7" s="390">
        <f t="shared" si="0"/>
        <v>310.38929999999999</v>
      </c>
      <c r="K7" s="390">
        <f t="shared" si="0"/>
        <v>293.55760000000004</v>
      </c>
      <c r="L7" s="390">
        <f t="shared" si="0"/>
        <v>262.66070999999999</v>
      </c>
      <c r="M7" s="390">
        <f t="shared" si="0"/>
        <v>283.25790000000001</v>
      </c>
      <c r="N7" s="390">
        <f t="shared" si="0"/>
        <v>252.37302000000003</v>
      </c>
      <c r="O7" s="390">
        <f t="shared" si="0"/>
        <v>252.238</v>
      </c>
      <c r="P7" s="390">
        <f t="shared" si="0"/>
        <v>277.15996000000001</v>
      </c>
      <c r="Q7" s="390">
        <f t="shared" si="0"/>
        <v>247.08759000000003</v>
      </c>
      <c r="R7" s="390">
        <f t="shared" si="0"/>
        <v>226.87961999999999</v>
      </c>
      <c r="S7" s="390">
        <f t="shared" si="0"/>
        <v>219.24040000000002</v>
      </c>
      <c r="T7" s="390">
        <f t="shared" si="0"/>
        <v>195.3</v>
      </c>
      <c r="U7" s="390">
        <f t="shared" si="0"/>
        <v>199.05457999999999</v>
      </c>
      <c r="V7" s="390">
        <f t="shared" si="0"/>
        <v>208.35324000000003</v>
      </c>
      <c r="W7" s="390">
        <f t="shared" si="0"/>
        <v>193.30953</v>
      </c>
      <c r="X7" s="151"/>
    </row>
    <row r="8" spans="2:24" x14ac:dyDescent="0.25">
      <c r="B8" s="96"/>
      <c r="C8" s="391"/>
      <c r="D8" s="391"/>
      <c r="E8" s="391"/>
      <c r="F8" s="391"/>
      <c r="G8" s="391"/>
      <c r="H8" s="391"/>
      <c r="I8" s="391"/>
      <c r="J8" s="391"/>
      <c r="K8" s="391"/>
      <c r="L8" s="391"/>
      <c r="M8" s="391"/>
      <c r="N8" s="391"/>
      <c r="O8" s="391"/>
      <c r="P8" s="391"/>
      <c r="Q8" s="391"/>
      <c r="R8" s="391"/>
      <c r="S8" s="391"/>
      <c r="T8" s="391"/>
      <c r="U8" s="391"/>
      <c r="V8" s="391"/>
      <c r="W8" s="391"/>
      <c r="X8" s="199"/>
    </row>
    <row r="9" spans="2:24" x14ac:dyDescent="0.25">
      <c r="B9" s="51" t="s">
        <v>249</v>
      </c>
      <c r="C9" s="392">
        <v>559.15</v>
      </c>
      <c r="D9" s="392">
        <v>548.74</v>
      </c>
      <c r="E9" s="392">
        <v>542.03</v>
      </c>
      <c r="F9" s="392">
        <v>534.66</v>
      </c>
      <c r="G9" s="392">
        <v>523.96</v>
      </c>
      <c r="H9" s="392">
        <v>521.09</v>
      </c>
      <c r="I9" s="392">
        <v>517.99</v>
      </c>
      <c r="J9" s="392">
        <v>515.64</v>
      </c>
      <c r="K9" s="392">
        <v>514.41</v>
      </c>
      <c r="L9" s="392">
        <v>511.88</v>
      </c>
      <c r="M9" s="392">
        <v>510.16</v>
      </c>
      <c r="N9" s="392">
        <v>505.49</v>
      </c>
      <c r="O9" s="392">
        <v>500.34</v>
      </c>
      <c r="P9" s="392">
        <v>495.01</v>
      </c>
      <c r="Q9" s="392">
        <v>490.01</v>
      </c>
      <c r="R9" s="392">
        <v>487.51</v>
      </c>
      <c r="S9" s="392">
        <v>485.87</v>
      </c>
      <c r="T9" s="392">
        <v>484.6</v>
      </c>
      <c r="U9" s="392">
        <v>483.83</v>
      </c>
      <c r="V9" s="392">
        <v>483.21</v>
      </c>
      <c r="W9" s="392">
        <v>482.13</v>
      </c>
      <c r="X9" s="51"/>
    </row>
    <row r="10" spans="2:24" x14ac:dyDescent="0.25">
      <c r="B10" s="51"/>
      <c r="C10" s="392"/>
      <c r="D10" s="393">
        <f>(D9-E9)/E9</f>
        <v>1.2379388594727297E-2</v>
      </c>
      <c r="E10" s="393">
        <f t="shared" ref="E10:V10" si="1">(E9-F9)/F9</f>
        <v>1.3784461152882215E-2</v>
      </c>
      <c r="F10" s="393">
        <f t="shared" si="1"/>
        <v>2.0421406214214694E-2</v>
      </c>
      <c r="G10" s="393">
        <f t="shared" si="1"/>
        <v>5.5076858124316419E-3</v>
      </c>
      <c r="H10" s="393">
        <f t="shared" si="1"/>
        <v>5.9846715187552319E-3</v>
      </c>
      <c r="I10" s="393">
        <f t="shared" si="1"/>
        <v>4.5574431774106404E-3</v>
      </c>
      <c r="J10" s="393">
        <f t="shared" si="1"/>
        <v>2.3910888202018201E-3</v>
      </c>
      <c r="K10" s="393">
        <f t="shared" si="1"/>
        <v>4.9425646635929766E-3</v>
      </c>
      <c r="L10" s="393">
        <f t="shared" si="1"/>
        <v>3.3714912968479897E-3</v>
      </c>
      <c r="M10" s="393">
        <f t="shared" si="1"/>
        <v>9.238560604561942E-3</v>
      </c>
      <c r="N10" s="393">
        <f t="shared" si="1"/>
        <v>1.029300075948362E-2</v>
      </c>
      <c r="O10" s="393">
        <f t="shared" si="1"/>
        <v>1.0767459243247578E-2</v>
      </c>
      <c r="P10" s="393">
        <f t="shared" si="1"/>
        <v>1.0203873390338973E-2</v>
      </c>
      <c r="Q10" s="393">
        <f t="shared" si="1"/>
        <v>5.1280999364115608E-3</v>
      </c>
      <c r="R10" s="393">
        <f t="shared" si="1"/>
        <v>3.3753884783995439E-3</v>
      </c>
      <c r="S10" s="393">
        <f t="shared" si="1"/>
        <v>2.6207181180354557E-3</v>
      </c>
      <c r="T10" s="393">
        <f t="shared" si="1"/>
        <v>1.5914680776306527E-3</v>
      </c>
      <c r="U10" s="393">
        <f t="shared" si="1"/>
        <v>1.2830860288487501E-3</v>
      </c>
      <c r="V10" s="393">
        <f t="shared" si="1"/>
        <v>2.2400597349262318E-3</v>
      </c>
      <c r="W10" s="392"/>
      <c r="X10" s="63">
        <f>AVERAGE(D10:V10)</f>
        <v>6.8464166117341487E-3</v>
      </c>
    </row>
    <row r="11" spans="2:24" x14ac:dyDescent="0.25">
      <c r="B11" s="46" t="s">
        <v>234</v>
      </c>
      <c r="C11" s="388">
        <v>138.84</v>
      </c>
      <c r="D11" s="388">
        <v>135.94</v>
      </c>
      <c r="E11" s="388">
        <v>133.66</v>
      </c>
      <c r="F11" s="388">
        <v>131.06</v>
      </c>
      <c r="G11" s="388">
        <v>129.36000000000001</v>
      </c>
      <c r="H11" s="388">
        <v>129.32</v>
      </c>
      <c r="I11" s="388">
        <v>129.01</v>
      </c>
      <c r="J11" s="388">
        <v>129.01</v>
      </c>
      <c r="K11" s="388">
        <v>129.01</v>
      </c>
      <c r="L11" s="388">
        <v>128.85</v>
      </c>
      <c r="M11" s="388">
        <v>128.69999999999999</v>
      </c>
      <c r="N11" s="388">
        <v>128.08000000000001</v>
      </c>
      <c r="O11" s="388">
        <v>126.95</v>
      </c>
      <c r="P11" s="388">
        <v>126.51</v>
      </c>
      <c r="Q11" s="388">
        <v>125.58</v>
      </c>
      <c r="R11" s="388">
        <v>125.11</v>
      </c>
      <c r="S11" s="388">
        <v>124.62</v>
      </c>
      <c r="T11" s="388">
        <v>124.09</v>
      </c>
      <c r="U11" s="388">
        <v>123.36</v>
      </c>
      <c r="V11" s="388">
        <v>122.16</v>
      </c>
      <c r="W11" s="388">
        <v>121.15</v>
      </c>
      <c r="X11" s="46"/>
    </row>
    <row r="12" spans="2:24" x14ac:dyDescent="0.25">
      <c r="B12" s="46" t="s">
        <v>235</v>
      </c>
      <c r="C12" s="388"/>
      <c r="D12" s="388">
        <v>14.33</v>
      </c>
      <c r="E12" s="388">
        <v>16.91</v>
      </c>
      <c r="F12" s="388">
        <v>14.93</v>
      </c>
      <c r="G12" s="388">
        <v>9.4700000000000006</v>
      </c>
      <c r="H12" s="388">
        <v>8.61</v>
      </c>
      <c r="I12" s="388">
        <v>9.2799999999999994</v>
      </c>
      <c r="J12" s="388">
        <v>9.26</v>
      </c>
      <c r="K12" s="388">
        <v>7.72</v>
      </c>
      <c r="L12" s="388">
        <v>9.17</v>
      </c>
      <c r="M12" s="388">
        <v>15.84</v>
      </c>
      <c r="N12" s="388">
        <v>7.89</v>
      </c>
      <c r="O12" s="388">
        <v>6.76</v>
      </c>
      <c r="P12" s="388">
        <v>7.03</v>
      </c>
      <c r="Q12" s="388">
        <v>6.47</v>
      </c>
      <c r="R12" s="388">
        <v>6.55</v>
      </c>
      <c r="S12" s="388">
        <v>6.87</v>
      </c>
      <c r="T12" s="388">
        <v>5.94</v>
      </c>
      <c r="U12" s="388">
        <v>7.68</v>
      </c>
      <c r="V12" s="388">
        <v>7.6</v>
      </c>
      <c r="W12" s="388">
        <v>8.7100000000000009</v>
      </c>
      <c r="X12" s="46"/>
    </row>
    <row r="13" spans="2:24" x14ac:dyDescent="0.25">
      <c r="B13" s="46" t="s">
        <v>239</v>
      </c>
      <c r="C13" s="388"/>
      <c r="D13" s="63">
        <v>0.24829999999999999</v>
      </c>
      <c r="E13" s="63">
        <v>0.2477</v>
      </c>
      <c r="F13" s="63">
        <v>0.24660000000000001</v>
      </c>
      <c r="G13" s="63">
        <v>0.24510000000000001</v>
      </c>
      <c r="H13" s="63">
        <v>0.246</v>
      </c>
      <c r="I13" s="63">
        <v>0.2482</v>
      </c>
      <c r="J13" s="63">
        <v>0.24909999999999999</v>
      </c>
      <c r="K13" s="63">
        <v>0.25019999999999998</v>
      </c>
      <c r="L13" s="63">
        <v>0.251</v>
      </c>
      <c r="M13" s="63">
        <v>0.25169999999999998</v>
      </c>
      <c r="N13" s="63">
        <v>0.25230000000000002</v>
      </c>
      <c r="O13" s="63">
        <v>0.25340000000000001</v>
      </c>
      <c r="P13" s="63">
        <v>0.25369999999999998</v>
      </c>
      <c r="Q13" s="63">
        <v>0.25559999999999999</v>
      </c>
      <c r="R13" s="63">
        <v>0.25629999999999997</v>
      </c>
      <c r="S13" s="63">
        <v>0.25659999999999999</v>
      </c>
      <c r="T13" s="63">
        <v>0.25650000000000001</v>
      </c>
      <c r="U13" s="63">
        <v>0.25609999999999999</v>
      </c>
      <c r="V13" s="63">
        <v>0.255</v>
      </c>
      <c r="W13" s="63">
        <v>0.25280000000000002</v>
      </c>
      <c r="X13" s="63">
        <f t="shared" ref="X13:X15" si="2">AVERAGE(D13:W13)</f>
        <v>0.25160999999999994</v>
      </c>
    </row>
    <row r="14" spans="2:24" x14ac:dyDescent="0.25">
      <c r="B14" s="46" t="s">
        <v>247</v>
      </c>
      <c r="C14" s="388"/>
      <c r="D14" s="63">
        <v>4.0300000000000002E-2</v>
      </c>
      <c r="E14" s="63">
        <v>4.0800000000000003E-2</v>
      </c>
      <c r="F14" s="63">
        <v>3.9300000000000002E-2</v>
      </c>
      <c r="G14" s="63">
        <v>3.9E-2</v>
      </c>
      <c r="H14" s="63">
        <v>3.9300000000000002E-2</v>
      </c>
      <c r="I14" s="63">
        <v>4.0899999999999999E-2</v>
      </c>
      <c r="J14" s="63">
        <v>4.1700000000000001E-2</v>
      </c>
      <c r="K14" s="63">
        <v>4.2200000000000001E-2</v>
      </c>
      <c r="L14" s="63">
        <v>4.2700000000000002E-2</v>
      </c>
      <c r="M14" s="63">
        <v>3.9800000000000002E-2</v>
      </c>
      <c r="N14" s="63">
        <v>3.95E-2</v>
      </c>
      <c r="O14" s="63">
        <v>4.0300000000000002E-2</v>
      </c>
      <c r="P14" s="63">
        <v>4.0800000000000003E-2</v>
      </c>
      <c r="Q14" s="63">
        <v>4.48E-2</v>
      </c>
      <c r="R14" s="63">
        <v>4.5999999999999999E-2</v>
      </c>
      <c r="S14" s="63">
        <v>4.6600000000000003E-2</v>
      </c>
      <c r="T14" s="63">
        <v>4.6899999999999997E-2</v>
      </c>
      <c r="U14" s="63">
        <v>4.7899999999999998E-2</v>
      </c>
      <c r="V14" s="63">
        <v>4.9200000000000001E-2</v>
      </c>
      <c r="W14" s="63">
        <v>4.9000000000000002E-2</v>
      </c>
      <c r="X14" s="63">
        <f t="shared" si="2"/>
        <v>4.2849999999999999E-2</v>
      </c>
    </row>
    <row r="15" spans="2:24" x14ac:dyDescent="0.25">
      <c r="B15" s="46" t="s">
        <v>248</v>
      </c>
      <c r="C15" s="388"/>
      <c r="D15" s="63">
        <v>2.4199999999999999E-2</v>
      </c>
      <c r="E15" s="63">
        <v>3.5999999999999997E-2</v>
      </c>
      <c r="F15" s="63">
        <v>3.3000000000000002E-2</v>
      </c>
      <c r="G15" s="63">
        <v>2.81E-2</v>
      </c>
      <c r="H15" s="63">
        <v>2.8400000000000002E-2</v>
      </c>
      <c r="I15" s="63">
        <v>2.7699999999999999E-2</v>
      </c>
      <c r="J15" s="63">
        <v>2.4799999999999999E-2</v>
      </c>
      <c r="K15" s="63">
        <v>1.6199999999999999E-2</v>
      </c>
      <c r="L15" s="63">
        <v>1.2999999999999999E-2</v>
      </c>
      <c r="M15" s="63">
        <v>1.01E-2</v>
      </c>
      <c r="N15" s="63">
        <v>1.0200000000000001E-2</v>
      </c>
      <c r="O15" s="63">
        <v>1.77E-2</v>
      </c>
      <c r="P15" s="63">
        <v>1.9699999999999999E-2</v>
      </c>
      <c r="Q15" s="63">
        <v>2.3099999999999999E-2</v>
      </c>
      <c r="R15" s="63">
        <v>2.5999999999999999E-2</v>
      </c>
      <c r="S15" s="63">
        <v>2.7900000000000001E-2</v>
      </c>
      <c r="T15" s="63">
        <v>2.81E-2</v>
      </c>
      <c r="U15" s="63">
        <v>2.98E-2</v>
      </c>
      <c r="V15" s="63">
        <v>3.04E-2</v>
      </c>
      <c r="W15" s="63">
        <v>2.9899999999999999E-2</v>
      </c>
      <c r="X15" s="63">
        <f t="shared" si="2"/>
        <v>2.4214999999999997E-2</v>
      </c>
    </row>
    <row r="16" spans="2:24" x14ac:dyDescent="0.25">
      <c r="B16" s="96"/>
      <c r="C16" s="391"/>
      <c r="D16" s="391"/>
      <c r="E16" s="391"/>
      <c r="F16" s="391"/>
      <c r="G16" s="391"/>
      <c r="H16" s="391"/>
      <c r="I16" s="391"/>
      <c r="J16" s="391"/>
      <c r="K16" s="391"/>
      <c r="L16" s="391"/>
      <c r="M16" s="391"/>
      <c r="N16" s="391"/>
      <c r="O16" s="391"/>
      <c r="P16" s="391"/>
      <c r="Q16" s="391"/>
      <c r="R16" s="391"/>
      <c r="S16" s="391"/>
      <c r="T16" s="391"/>
      <c r="U16" s="391"/>
      <c r="V16" s="391"/>
      <c r="W16" s="391"/>
      <c r="X16" s="199"/>
    </row>
    <row r="17" spans="2:24" x14ac:dyDescent="0.25">
      <c r="B17" s="46" t="s">
        <v>237</v>
      </c>
      <c r="C17" s="388"/>
      <c r="D17" s="388">
        <v>0.84</v>
      </c>
      <c r="E17" s="388">
        <v>0.79</v>
      </c>
      <c r="F17" s="388">
        <v>0.77</v>
      </c>
      <c r="G17" s="388">
        <v>0.79</v>
      </c>
      <c r="H17" s="388">
        <v>0.81</v>
      </c>
      <c r="I17" s="388">
        <v>0.76</v>
      </c>
      <c r="J17" s="388">
        <v>0.77</v>
      </c>
      <c r="K17" s="388">
        <v>0.8</v>
      </c>
      <c r="L17" s="388">
        <v>0.81</v>
      </c>
      <c r="M17" s="388">
        <v>0.93</v>
      </c>
      <c r="N17" s="388">
        <v>0.73</v>
      </c>
      <c r="O17" s="388">
        <v>0.76</v>
      </c>
      <c r="P17" s="388">
        <v>0.81</v>
      </c>
      <c r="Q17" s="388">
        <v>0.78</v>
      </c>
      <c r="R17" s="388">
        <v>0.77</v>
      </c>
      <c r="S17" s="388">
        <v>0.86</v>
      </c>
      <c r="T17" s="388">
        <v>0.86</v>
      </c>
      <c r="U17" s="388">
        <v>0.85</v>
      </c>
      <c r="V17" s="388">
        <v>0.84</v>
      </c>
      <c r="W17" s="388">
        <v>0.93</v>
      </c>
      <c r="X17" s="46"/>
    </row>
    <row r="18" spans="2:24" x14ac:dyDescent="0.25">
      <c r="B18" s="46" t="s">
        <v>238</v>
      </c>
      <c r="C18" s="388"/>
      <c r="D18" s="388">
        <v>1.87</v>
      </c>
      <c r="E18" s="388">
        <v>1.92</v>
      </c>
      <c r="F18" s="388">
        <v>2.14</v>
      </c>
      <c r="G18" s="388">
        <v>1.9</v>
      </c>
      <c r="H18" s="388">
        <v>2.06</v>
      </c>
      <c r="I18" s="388">
        <v>2.04</v>
      </c>
      <c r="J18" s="388">
        <v>2.13</v>
      </c>
      <c r="K18" s="388">
        <v>1.75</v>
      </c>
      <c r="L18" s="388">
        <v>1.85</v>
      </c>
      <c r="M18" s="388">
        <v>1.79</v>
      </c>
      <c r="N18" s="388">
        <v>1.62</v>
      </c>
      <c r="O18" s="388">
        <v>1.53</v>
      </c>
      <c r="P18" s="388">
        <v>1.65</v>
      </c>
      <c r="Q18" s="388">
        <v>1.55</v>
      </c>
      <c r="R18" s="388">
        <v>1.62</v>
      </c>
      <c r="S18" s="388">
        <v>1.47</v>
      </c>
      <c r="T18" s="388">
        <v>1.57</v>
      </c>
      <c r="U18" s="388">
        <v>1.5</v>
      </c>
      <c r="V18" s="388">
        <v>1.56</v>
      </c>
      <c r="W18" s="388">
        <v>1.39</v>
      </c>
      <c r="X18" s="46"/>
    </row>
    <row r="19" spans="2:24" x14ac:dyDescent="0.25">
      <c r="B19" s="46" t="s">
        <v>240</v>
      </c>
      <c r="C19" s="388" cm="1">
        <f t="array" ref="C19">_FV(B2,"P/E",TRUE)</f>
        <v>29.939</v>
      </c>
      <c r="D19" s="388">
        <v>19.98</v>
      </c>
      <c r="E19" s="388">
        <v>20.48</v>
      </c>
      <c r="F19" s="388">
        <v>22.83</v>
      </c>
      <c r="G19" s="388">
        <v>21.69</v>
      </c>
      <c r="H19" s="388">
        <v>23.01</v>
      </c>
      <c r="I19" s="388">
        <v>24.33</v>
      </c>
      <c r="J19" s="388">
        <v>34.729999999999997</v>
      </c>
      <c r="K19" s="388">
        <v>40.869999999999997</v>
      </c>
      <c r="L19" s="388">
        <v>54.94</v>
      </c>
      <c r="M19" s="388">
        <v>48.6</v>
      </c>
      <c r="N19" s="388">
        <v>27.93</v>
      </c>
      <c r="O19" s="388">
        <v>30.6</v>
      </c>
      <c r="P19" s="388">
        <v>21.81</v>
      </c>
      <c r="Q19" s="388">
        <v>17.940000000000001</v>
      </c>
      <c r="R19" s="388">
        <v>15.8</v>
      </c>
      <c r="S19" s="388">
        <v>13.99</v>
      </c>
      <c r="T19" s="388">
        <v>13.88</v>
      </c>
      <c r="U19" s="388">
        <v>14.21</v>
      </c>
      <c r="V19" s="388">
        <v>13.29</v>
      </c>
      <c r="W19" s="388">
        <v>12.95</v>
      </c>
      <c r="X19" s="389">
        <f>AVERAGE(D19:W19)</f>
        <v>24.693000000000005</v>
      </c>
    </row>
    <row r="20" spans="2:24" x14ac:dyDescent="0.25">
      <c r="B20" s="46" t="s">
        <v>241</v>
      </c>
      <c r="C20" s="388">
        <v>0.71</v>
      </c>
      <c r="D20" s="388">
        <v>0.72</v>
      </c>
      <c r="E20" s="388">
        <v>0.68</v>
      </c>
      <c r="F20" s="388">
        <v>0.64</v>
      </c>
      <c r="G20" s="388">
        <v>0.62</v>
      </c>
      <c r="H20" s="388">
        <v>0.64</v>
      </c>
      <c r="I20" s="388">
        <v>0.6</v>
      </c>
      <c r="J20" s="388">
        <v>0.56999999999999995</v>
      </c>
      <c r="K20" s="388">
        <v>0.53</v>
      </c>
      <c r="L20" s="388">
        <v>0.56000000000000005</v>
      </c>
      <c r="M20" s="388">
        <v>0.5</v>
      </c>
      <c r="N20" s="388">
        <v>0.5</v>
      </c>
      <c r="O20" s="388">
        <v>0.61</v>
      </c>
      <c r="P20" s="388">
        <v>0.5</v>
      </c>
      <c r="Q20" s="388">
        <v>0.47</v>
      </c>
      <c r="R20" s="388">
        <v>0.44</v>
      </c>
      <c r="S20" s="388">
        <v>0.39</v>
      </c>
      <c r="T20" s="388">
        <v>0.41</v>
      </c>
      <c r="U20" s="388">
        <v>0.43</v>
      </c>
      <c r="V20" s="388">
        <v>0.4</v>
      </c>
      <c r="W20" s="388">
        <v>0.4</v>
      </c>
      <c r="X20" s="389">
        <f>AVERAGE(D20:W20)</f>
        <v>0.53050000000000008</v>
      </c>
    </row>
    <row r="21" spans="2:24" x14ac:dyDescent="0.25">
      <c r="B21" s="46" t="s">
        <v>242</v>
      </c>
      <c r="C21" s="388"/>
      <c r="D21" s="388">
        <v>4.5</v>
      </c>
      <c r="E21" s="388">
        <v>4.5</v>
      </c>
      <c r="F21" s="388">
        <v>4.62</v>
      </c>
      <c r="G21" s="388">
        <v>3.96</v>
      </c>
      <c r="H21" s="388">
        <v>4.1900000000000004</v>
      </c>
      <c r="I21" s="388">
        <v>4</v>
      </c>
      <c r="J21" s="388">
        <v>3.84</v>
      </c>
      <c r="K21" s="388">
        <v>3.42</v>
      </c>
      <c r="L21" s="388">
        <v>3.56</v>
      </c>
      <c r="M21" s="388">
        <v>3.39</v>
      </c>
      <c r="N21" s="388">
        <v>3.17</v>
      </c>
      <c r="O21" s="388">
        <v>3.74</v>
      </c>
      <c r="P21" s="388">
        <v>3.11</v>
      </c>
      <c r="Q21" s="388">
        <v>2.85</v>
      </c>
      <c r="R21" s="388">
        <v>2.78</v>
      </c>
      <c r="S21" s="388">
        <v>2.37</v>
      </c>
      <c r="T21" s="388">
        <v>2.46</v>
      </c>
      <c r="U21" s="388">
        <v>2.6</v>
      </c>
      <c r="V21" s="388">
        <v>2.44</v>
      </c>
      <c r="W21" s="388">
        <v>2.2799999999999998</v>
      </c>
      <c r="X21" s="389">
        <f>AVERAGE(D21:W21)</f>
        <v>3.3890000000000007</v>
      </c>
    </row>
    <row r="22" spans="2:24" x14ac:dyDescent="0.25">
      <c r="B22" s="46" t="s">
        <v>243</v>
      </c>
      <c r="C22" s="388">
        <v>4.7300000000000004</v>
      </c>
      <c r="D22" s="388">
        <v>6.92</v>
      </c>
      <c r="E22" s="388">
        <v>6.27</v>
      </c>
      <c r="F22" s="388">
        <v>5.26</v>
      </c>
      <c r="G22" s="388">
        <v>5.19</v>
      </c>
      <c r="H22" s="388">
        <v>4.99</v>
      </c>
      <c r="I22" s="388">
        <v>4.42</v>
      </c>
      <c r="J22" s="388">
        <v>2.87</v>
      </c>
      <c r="K22" s="388">
        <v>2.2599999999999998</v>
      </c>
      <c r="L22" s="388">
        <v>1.75</v>
      </c>
      <c r="M22" s="388">
        <v>1.75</v>
      </c>
      <c r="N22" s="388">
        <v>3</v>
      </c>
      <c r="O22" s="388">
        <v>3.28</v>
      </c>
      <c r="P22" s="388">
        <v>3.75</v>
      </c>
      <c r="Q22" s="388">
        <v>4.1500000000000004</v>
      </c>
      <c r="R22" s="388">
        <v>4.4000000000000004</v>
      </c>
      <c r="S22" s="388">
        <v>4.38</v>
      </c>
      <c r="T22" s="388">
        <v>4.5999999999999996</v>
      </c>
      <c r="U22" s="388">
        <v>4.6500000000000004</v>
      </c>
      <c r="V22" s="388">
        <v>4.5199999999999996</v>
      </c>
      <c r="W22" s="388">
        <v>4.57</v>
      </c>
      <c r="X22" s="46"/>
    </row>
    <row r="23" spans="2:24" x14ac:dyDescent="0.25">
      <c r="B23" s="46" t="s">
        <v>245</v>
      </c>
      <c r="C23" s="46"/>
      <c r="D23" s="63">
        <v>0.24349999999999999</v>
      </c>
      <c r="E23" s="63">
        <v>0.2271</v>
      </c>
      <c r="F23" s="63">
        <v>0.19320000000000001</v>
      </c>
      <c r="G23" s="63">
        <v>0.1908</v>
      </c>
      <c r="H23" s="63">
        <v>0.1862</v>
      </c>
      <c r="I23" s="63">
        <v>0.16520000000000001</v>
      </c>
      <c r="J23" s="63">
        <v>0.1089</v>
      </c>
      <c r="K23" s="63">
        <v>8.5699999999999998E-2</v>
      </c>
      <c r="L23" s="63">
        <v>6.6000000000000003E-2</v>
      </c>
      <c r="M23" s="63">
        <v>6.6699999999999995E-2</v>
      </c>
      <c r="N23" s="63">
        <v>0.113</v>
      </c>
      <c r="O23" s="63">
        <v>0.12529999999999999</v>
      </c>
      <c r="P23" s="63">
        <v>0.14549999999999999</v>
      </c>
      <c r="Q23" s="63">
        <v>0.161</v>
      </c>
      <c r="R23" s="63">
        <v>0.17199999999999999</v>
      </c>
      <c r="S23" s="63">
        <v>0.17169999999999999</v>
      </c>
      <c r="T23" s="63">
        <v>0.1802</v>
      </c>
      <c r="U23" s="63">
        <v>0.18229999999999999</v>
      </c>
      <c r="V23" s="63">
        <v>0.17699999999999999</v>
      </c>
      <c r="W23" s="63">
        <v>0.17899999999999999</v>
      </c>
      <c r="X23" s="63">
        <f>AVERAGE(D23:W23)</f>
        <v>0.15701499999999999</v>
      </c>
    </row>
    <row r="25" spans="2:24" x14ac:dyDescent="0.25">
      <c r="B25" s="46" t="e" vm="135">
        <v>#VALUE!</v>
      </c>
      <c r="C25" s="200" cm="1">
        <f t="array" ref="C25">_FV(B25,"Price")</f>
        <v>14354.902</v>
      </c>
      <c r="D25" s="200">
        <v>12888</v>
      </c>
      <c r="E25" s="200">
        <v>11052</v>
      </c>
      <c r="F25" s="200">
        <v>10905</v>
      </c>
      <c r="G25" s="200">
        <v>9000</v>
      </c>
      <c r="H25" s="200">
        <v>8991</v>
      </c>
      <c r="I25" s="200">
        <v>8151</v>
      </c>
      <c r="J25" s="200">
        <v>8174</v>
      </c>
      <c r="K25" s="200">
        <v>7953</v>
      </c>
      <c r="L25" s="200">
        <v>6907</v>
      </c>
      <c r="M25" s="200">
        <v>8336</v>
      </c>
      <c r="N25" s="200">
        <v>7795</v>
      </c>
      <c r="O25" s="200">
        <v>7402</v>
      </c>
      <c r="P25" s="200">
        <v>7324</v>
      </c>
      <c r="Q25" s="200">
        <v>6885</v>
      </c>
      <c r="R25" s="200">
        <v>6557</v>
      </c>
      <c r="S25" s="200">
        <v>6343</v>
      </c>
      <c r="T25" s="200">
        <v>5829</v>
      </c>
      <c r="U25" s="200">
        <v>5752</v>
      </c>
      <c r="V25" s="200">
        <v>5254</v>
      </c>
      <c r="W25" s="200">
        <v>5347</v>
      </c>
      <c r="X25" s="46"/>
    </row>
    <row r="26" spans="2:24" x14ac:dyDescent="0.25">
      <c r="C26" s="39">
        <v>25.1</v>
      </c>
      <c r="D26" s="39">
        <v>23.8</v>
      </c>
      <c r="W26" s="39">
        <v>20.02</v>
      </c>
    </row>
    <row r="29" spans="2:24" x14ac:dyDescent="0.25">
      <c r="M29" s="582" t="s">
        <v>268</v>
      </c>
      <c r="N29" s="582"/>
      <c r="O29" s="582"/>
    </row>
    <row r="30" spans="2:24" x14ac:dyDescent="0.25">
      <c r="B30" s="46"/>
      <c r="C30" s="444" t="s">
        <v>244</v>
      </c>
      <c r="D30" s="444" t="s">
        <v>252</v>
      </c>
      <c r="E30" s="444" t="s">
        <v>253</v>
      </c>
      <c r="F30" s="444" t="s">
        <v>250</v>
      </c>
      <c r="G30" s="444" t="s">
        <v>289</v>
      </c>
      <c r="H30" s="444" t="s">
        <v>287</v>
      </c>
      <c r="I30" s="444" t="s">
        <v>288</v>
      </c>
    </row>
    <row r="31" spans="2:24" x14ac:dyDescent="0.25">
      <c r="B31" s="46" t="s">
        <v>251</v>
      </c>
      <c r="C31" s="394">
        <f>C32/C22</f>
        <v>30.866807610993654</v>
      </c>
      <c r="D31" s="395">
        <f>D32/C22</f>
        <v>27.484143763213527</v>
      </c>
      <c r="E31" s="321">
        <f>E32/C22</f>
        <v>29.598308668076108</v>
      </c>
      <c r="F31" s="394">
        <f>AVERAGE('WMT Analysis'!D19:O19)</f>
        <v>30.832500000000007</v>
      </c>
      <c r="G31" s="394">
        <f>G32/'WMT Analysis'!D22</f>
        <v>19.057559609826594</v>
      </c>
      <c r="H31" s="394">
        <v>24.93</v>
      </c>
      <c r="I31" s="394">
        <f>D19</f>
        <v>19.98</v>
      </c>
      <c r="M31" s="444" t="s">
        <v>17</v>
      </c>
      <c r="N31" s="444" t="s">
        <v>233</v>
      </c>
      <c r="O31" s="444" t="s">
        <v>266</v>
      </c>
      <c r="P31" s="444" t="s">
        <v>267</v>
      </c>
    </row>
    <row r="32" spans="2:24" x14ac:dyDescent="0.25">
      <c r="B32" s="46" t="s">
        <v>233</v>
      </c>
      <c r="C32" s="394">
        <f>'WMT Analysis'!C5</f>
        <v>146</v>
      </c>
      <c r="D32" s="395">
        <v>130</v>
      </c>
      <c r="E32" s="321">
        <v>140</v>
      </c>
      <c r="F32" s="394">
        <f>F31*C22</f>
        <v>145.83772500000003</v>
      </c>
      <c r="G32" s="394">
        <f>AVERAGE(H32,F32)</f>
        <v>131.87831250000002</v>
      </c>
      <c r="H32" s="394">
        <f>H31*C22</f>
        <v>117.91890000000001</v>
      </c>
      <c r="I32" s="394">
        <f>I31*C22</f>
        <v>94.505400000000009</v>
      </c>
      <c r="M32" s="406">
        <v>43122</v>
      </c>
      <c r="N32" s="394">
        <v>108.39</v>
      </c>
      <c r="O32" s="46"/>
      <c r="P32" s="46"/>
    </row>
    <row r="33" spans="2:16" x14ac:dyDescent="0.25">
      <c r="C33" s="73">
        <f>(C32-D32)/D32</f>
        <v>0.12307692307692308</v>
      </c>
      <c r="D33" s="73">
        <f>(D32-C32)/C32</f>
        <v>-0.1095890410958904</v>
      </c>
      <c r="E33" s="73">
        <f>(E32-D32)/D32</f>
        <v>7.6923076923076927E-2</v>
      </c>
      <c r="F33" s="73">
        <f>(F32-$D$32)/$D$32</f>
        <v>0.12182865384615411</v>
      </c>
      <c r="G33" s="73">
        <f>(G32-$D$32)/$D$32</f>
        <v>1.4448557692307854E-2</v>
      </c>
      <c r="H33" s="73">
        <f>(H32-$D$32)/$D$32</f>
        <v>-9.2931538461538399E-2</v>
      </c>
      <c r="I33" s="73">
        <f>(I32-$D$32)/$D$32</f>
        <v>-0.27303538461538457</v>
      </c>
      <c r="M33" s="406">
        <v>43241</v>
      </c>
      <c r="N33" s="394">
        <v>82.46</v>
      </c>
      <c r="O33" s="303">
        <f>(N33-N32)/N32</f>
        <v>-0.2392287111357137</v>
      </c>
      <c r="P33" s="309">
        <f t="shared" ref="P33:P39" si="3">M33-M32</f>
        <v>119</v>
      </c>
    </row>
    <row r="34" spans="2:16" x14ac:dyDescent="0.25">
      <c r="D34" s="343"/>
      <c r="E34" s="73">
        <f>(E32-C32)/C32</f>
        <v>-4.1095890410958902E-2</v>
      </c>
      <c r="M34" s="406">
        <v>43656</v>
      </c>
      <c r="N34" s="394">
        <v>120.24</v>
      </c>
      <c r="O34" s="46"/>
      <c r="P34" s="46">
        <f t="shared" si="3"/>
        <v>415</v>
      </c>
    </row>
    <row r="35" spans="2:16" x14ac:dyDescent="0.25">
      <c r="M35" s="406">
        <v>43885</v>
      </c>
      <c r="N35" s="394">
        <v>107.68</v>
      </c>
      <c r="O35" s="303">
        <f>(N35-N34)/N34</f>
        <v>-0.10445775116433789</v>
      </c>
      <c r="P35" s="309">
        <f t="shared" si="3"/>
        <v>229</v>
      </c>
    </row>
    <row r="36" spans="2:16" x14ac:dyDescent="0.25">
      <c r="B36" s="96" t="s">
        <v>262</v>
      </c>
      <c r="C36" s="420">
        <v>88.78</v>
      </c>
      <c r="D36" s="98"/>
      <c r="E36" s="98"/>
      <c r="F36" s="98"/>
      <c r="G36" s="98"/>
      <c r="H36" s="98"/>
      <c r="I36" s="199"/>
      <c r="M36" s="406">
        <v>43934</v>
      </c>
      <c r="N36" s="394">
        <v>132.12</v>
      </c>
      <c r="O36" s="303"/>
      <c r="P36" s="309">
        <f t="shared" si="3"/>
        <v>49</v>
      </c>
    </row>
    <row r="37" spans="2:16" x14ac:dyDescent="0.25">
      <c r="B37" s="46" t="s">
        <v>233</v>
      </c>
      <c r="C37" s="394">
        <f>C32</f>
        <v>146</v>
      </c>
      <c r="D37" s="389">
        <f>D32</f>
        <v>130</v>
      </c>
      <c r="E37" s="389">
        <f t="shared" ref="E37:I37" si="4">E32</f>
        <v>140</v>
      </c>
      <c r="F37" s="389">
        <f t="shared" si="4"/>
        <v>145.83772500000003</v>
      </c>
      <c r="G37" s="389">
        <f t="shared" si="4"/>
        <v>131.87831250000002</v>
      </c>
      <c r="H37" s="389">
        <f t="shared" si="4"/>
        <v>117.91890000000001</v>
      </c>
      <c r="I37" s="389">
        <f t="shared" si="4"/>
        <v>94.505400000000009</v>
      </c>
      <c r="M37" s="406">
        <v>43990</v>
      </c>
      <c r="N37" s="394">
        <v>117.74</v>
      </c>
      <c r="O37" s="303">
        <f>(N37-N36)/N36</f>
        <v>-0.10884044807750537</v>
      </c>
      <c r="P37" s="309">
        <f t="shared" si="3"/>
        <v>56</v>
      </c>
    </row>
    <row r="38" spans="2:16" x14ac:dyDescent="0.25">
      <c r="B38" s="46" t="s">
        <v>256</v>
      </c>
      <c r="C38" s="394">
        <f>C37/$C$36</f>
        <v>1.6445145302996169</v>
      </c>
      <c r="D38" s="394">
        <f t="shared" ref="D38:I38" si="5">D37/$C$36</f>
        <v>1.4642937598558234</v>
      </c>
      <c r="E38" s="394">
        <f t="shared" si="5"/>
        <v>1.5769317413831945</v>
      </c>
      <c r="F38" s="394">
        <f t="shared" si="5"/>
        <v>1.6426866974543819</v>
      </c>
      <c r="G38" s="394">
        <f t="shared" si="5"/>
        <v>1.4854506927235867</v>
      </c>
      <c r="H38" s="394">
        <f t="shared" si="5"/>
        <v>1.3282146879927912</v>
      </c>
      <c r="I38" s="394">
        <f t="shared" si="5"/>
        <v>1.0644897499436812</v>
      </c>
      <c r="L38" s="101"/>
      <c r="M38" s="406">
        <v>44158</v>
      </c>
      <c r="N38" s="394">
        <v>151.6</v>
      </c>
      <c r="O38" s="46"/>
      <c r="P38" s="46">
        <f t="shared" si="3"/>
        <v>168</v>
      </c>
    </row>
    <row r="39" spans="2:16" x14ac:dyDescent="0.25">
      <c r="B39" s="96" t="s">
        <v>257</v>
      </c>
      <c r="C39" s="98"/>
      <c r="D39" s="98"/>
      <c r="E39" s="98"/>
      <c r="F39" s="315"/>
      <c r="G39" s="98"/>
      <c r="H39" s="98"/>
      <c r="I39" s="199"/>
      <c r="M39" s="406">
        <f ca="1">TODAY()</f>
        <v>44649</v>
      </c>
      <c r="N39" s="394">
        <f>C5</f>
        <v>146</v>
      </c>
      <c r="O39" s="303">
        <f>(N39-N38)/N38</f>
        <v>-3.6939313984168831E-2</v>
      </c>
      <c r="P39" s="46">
        <f t="shared" ca="1" si="3"/>
        <v>491</v>
      </c>
    </row>
    <row r="40" spans="2:16" x14ac:dyDescent="0.25">
      <c r="B40" s="416" t="s">
        <v>258</v>
      </c>
      <c r="C40" s="54">
        <v>1.02</v>
      </c>
      <c r="D40" s="417">
        <f>C40*$C$36</f>
        <v>90.555599999999998</v>
      </c>
      <c r="E40" s="54"/>
      <c r="F40" s="315" t="s">
        <v>64</v>
      </c>
      <c r="G40" s="425">
        <f>D40/$D$22</f>
        <v>13.086069364161849</v>
      </c>
      <c r="H40" s="54"/>
      <c r="I40" s="248"/>
      <c r="M40" s="304"/>
      <c r="N40" s="424">
        <f>N38*(1+O40)</f>
        <v>135.09978807145018</v>
      </c>
      <c r="O40" s="99">
        <f>MEDIAN(O33,O35,O37)</f>
        <v>-0.10884044807750537</v>
      </c>
      <c r="P40" s="46"/>
    </row>
    <row r="41" spans="2:16" x14ac:dyDescent="0.25">
      <c r="B41" s="416" t="s">
        <v>259</v>
      </c>
      <c r="C41" s="54">
        <v>1.83</v>
      </c>
      <c r="D41" s="417">
        <f t="shared" ref="D41:D43" si="6">C41*$C$36</f>
        <v>162.4674</v>
      </c>
      <c r="E41" s="54"/>
      <c r="F41" s="54" t="s">
        <v>64</v>
      </c>
      <c r="G41" s="425">
        <f t="shared" ref="G41:G43" si="7">D41/$D$22</f>
        <v>23.477947976878614</v>
      </c>
      <c r="H41" s="54"/>
      <c r="I41" s="248"/>
      <c r="M41" s="101"/>
    </row>
    <row r="42" spans="2:16" x14ac:dyDescent="0.25">
      <c r="B42" s="416" t="s">
        <v>260</v>
      </c>
      <c r="C42" s="54">
        <v>37.42</v>
      </c>
      <c r="D42" s="417">
        <f t="shared" si="6"/>
        <v>3322.1476000000002</v>
      </c>
      <c r="E42" s="54"/>
      <c r="F42" s="54" t="s">
        <v>64</v>
      </c>
      <c r="G42" s="425">
        <f t="shared" si="7"/>
        <v>480.07913294797692</v>
      </c>
      <c r="H42" s="54"/>
      <c r="I42" s="248"/>
    </row>
    <row r="43" spans="2:16" x14ac:dyDescent="0.25">
      <c r="B43" s="418" t="s">
        <v>261</v>
      </c>
      <c r="C43" s="192">
        <v>1.04</v>
      </c>
      <c r="D43" s="419">
        <f t="shared" si="6"/>
        <v>92.33120000000001</v>
      </c>
      <c r="E43" s="192"/>
      <c r="F43" s="192" t="s">
        <v>64</v>
      </c>
      <c r="G43" s="426">
        <f t="shared" si="7"/>
        <v>13.342658959537573</v>
      </c>
      <c r="H43" s="192"/>
      <c r="I43" s="145"/>
    </row>
    <row r="46" spans="2:16" x14ac:dyDescent="0.25">
      <c r="B46" s="96" t="s">
        <v>264</v>
      </c>
      <c r="C46" s="420">
        <v>134.91</v>
      </c>
      <c r="D46" s="98"/>
      <c r="E46" s="98"/>
      <c r="F46" s="98"/>
      <c r="G46" s="98"/>
      <c r="H46" s="98"/>
      <c r="I46" s="199"/>
    </row>
    <row r="47" spans="2:16" x14ac:dyDescent="0.25">
      <c r="B47" s="46" t="s">
        <v>233</v>
      </c>
      <c r="C47" s="394">
        <f>C32</f>
        <v>146</v>
      </c>
      <c r="D47" s="389">
        <f>D32</f>
        <v>130</v>
      </c>
      <c r="E47" s="389">
        <f t="shared" ref="E47:I47" si="8">E32</f>
        <v>140</v>
      </c>
      <c r="F47" s="389">
        <f t="shared" si="8"/>
        <v>145.83772500000003</v>
      </c>
      <c r="G47" s="389">
        <f t="shared" si="8"/>
        <v>131.87831250000002</v>
      </c>
      <c r="H47" s="389">
        <f t="shared" si="8"/>
        <v>117.91890000000001</v>
      </c>
      <c r="I47" s="389">
        <f t="shared" si="8"/>
        <v>94.505400000000009</v>
      </c>
    </row>
    <row r="48" spans="2:16" x14ac:dyDescent="0.25">
      <c r="B48" s="46" t="s">
        <v>263</v>
      </c>
      <c r="C48" s="50">
        <f>($C$46-C47)/$C$46</f>
        <v>-8.220295011489144E-2</v>
      </c>
      <c r="D48" s="50">
        <f t="shared" ref="D48:I48" si="9">($C$46-D47)/$C$46</f>
        <v>3.639463345934324E-2</v>
      </c>
      <c r="E48" s="50">
        <f t="shared" si="9"/>
        <v>-3.7728856274553434E-2</v>
      </c>
      <c r="F48" s="50">
        <f t="shared" si="9"/>
        <v>-8.1000111185234883E-2</v>
      </c>
      <c r="G48" s="50">
        <f t="shared" si="9"/>
        <v>2.2471925728263106E-2</v>
      </c>
      <c r="H48" s="50">
        <f t="shared" si="9"/>
        <v>0.12594396264176108</v>
      </c>
      <c r="I48" s="50">
        <f t="shared" si="9"/>
        <v>0.29949299533022006</v>
      </c>
    </row>
    <row r="51" spans="2:13" x14ac:dyDescent="0.25">
      <c r="B51" s="96" t="s">
        <v>265</v>
      </c>
      <c r="C51" s="420">
        <v>50.62</v>
      </c>
      <c r="D51" s="98"/>
      <c r="E51" s="98"/>
      <c r="F51" s="98"/>
      <c r="G51" s="98"/>
      <c r="H51" s="98"/>
      <c r="I51" s="199"/>
    </row>
    <row r="52" spans="2:13" x14ac:dyDescent="0.25">
      <c r="B52" s="46" t="s">
        <v>233</v>
      </c>
      <c r="C52" s="394">
        <f>C32</f>
        <v>146</v>
      </c>
      <c r="D52" s="389">
        <f>D32</f>
        <v>130</v>
      </c>
      <c r="E52" s="389">
        <f t="shared" ref="E52:I52" si="10">E32</f>
        <v>140</v>
      </c>
      <c r="F52" s="389">
        <f t="shared" si="10"/>
        <v>145.83772500000003</v>
      </c>
      <c r="G52" s="389">
        <f t="shared" si="10"/>
        <v>131.87831250000002</v>
      </c>
      <c r="H52" s="389">
        <f t="shared" si="10"/>
        <v>117.91890000000001</v>
      </c>
      <c r="I52" s="389">
        <f t="shared" si="10"/>
        <v>94.505400000000009</v>
      </c>
    </row>
    <row r="53" spans="2:13" x14ac:dyDescent="0.25">
      <c r="B53" s="46" t="s">
        <v>263</v>
      </c>
      <c r="C53" s="50">
        <f>($C$51-C52)/$C$51</f>
        <v>-1.8842354800474121</v>
      </c>
      <c r="D53" s="50">
        <f t="shared" ref="D53:I53" si="11">($C$51-D52)/$C$51</f>
        <v>-1.568154879494271</v>
      </c>
      <c r="E53" s="50">
        <f t="shared" si="11"/>
        <v>-1.7657052548399843</v>
      </c>
      <c r="F53" s="50">
        <f t="shared" si="11"/>
        <v>-1.8810297313314903</v>
      </c>
      <c r="G53" s="50">
        <f t="shared" si="11"/>
        <v>-1.605261013433426</v>
      </c>
      <c r="H53" s="50">
        <f t="shared" si="11"/>
        <v>-1.3294922955353616</v>
      </c>
      <c r="I53" s="50">
        <f t="shared" si="11"/>
        <v>-0.86695772421967632</v>
      </c>
    </row>
    <row r="54" spans="2:13" x14ac:dyDescent="0.25">
      <c r="B54" s="96" t="s">
        <v>257</v>
      </c>
      <c r="C54" s="98"/>
      <c r="D54" s="98"/>
      <c r="E54" s="98"/>
      <c r="F54" s="98"/>
      <c r="G54" s="98"/>
      <c r="H54" s="98"/>
      <c r="I54" s="199"/>
    </row>
    <row r="55" spans="2:13" x14ac:dyDescent="0.25">
      <c r="B55" s="416" t="s">
        <v>244</v>
      </c>
      <c r="C55" s="397">
        <f>C52/$C$51</f>
        <v>2.8842354800474124</v>
      </c>
      <c r="D55" s="54"/>
      <c r="E55" s="54"/>
      <c r="F55" s="54"/>
      <c r="G55" s="54"/>
      <c r="H55" s="54"/>
      <c r="I55" s="248"/>
    </row>
    <row r="56" spans="2:13" x14ac:dyDescent="0.25">
      <c r="B56" s="416" t="s">
        <v>258</v>
      </c>
      <c r="C56" s="397">
        <v>0.6</v>
      </c>
      <c r="D56" s="417">
        <f>C56*$C$51</f>
        <v>30.371999999999996</v>
      </c>
      <c r="E56" s="54"/>
      <c r="F56" s="54"/>
      <c r="G56" s="54"/>
      <c r="H56" s="54"/>
      <c r="I56" s="248"/>
    </row>
    <row r="57" spans="2:13" x14ac:dyDescent="0.25">
      <c r="B57" s="416" t="s">
        <v>259</v>
      </c>
      <c r="C57" s="397">
        <v>1</v>
      </c>
      <c r="D57" s="417">
        <f t="shared" ref="D57:D59" si="12">C57*$C$51</f>
        <v>50.62</v>
      </c>
      <c r="E57" s="54"/>
      <c r="F57" s="54"/>
      <c r="G57" s="54"/>
      <c r="H57" s="54"/>
      <c r="I57" s="248"/>
    </row>
    <row r="58" spans="2:13" x14ac:dyDescent="0.25">
      <c r="B58" s="416" t="s">
        <v>260</v>
      </c>
      <c r="C58" s="397">
        <v>2.78</v>
      </c>
      <c r="D58" s="417">
        <f t="shared" si="12"/>
        <v>140.72359999999998</v>
      </c>
      <c r="E58" s="54"/>
      <c r="F58" s="54"/>
      <c r="G58" s="54"/>
      <c r="H58" s="54"/>
      <c r="I58" s="248"/>
    </row>
    <row r="59" spans="2:13" x14ac:dyDescent="0.25">
      <c r="B59" s="418" t="s">
        <v>261</v>
      </c>
      <c r="C59" s="421">
        <v>1.3</v>
      </c>
      <c r="D59" s="419">
        <f t="shared" si="12"/>
        <v>65.805999999999997</v>
      </c>
      <c r="E59" s="192"/>
      <c r="F59" s="192"/>
      <c r="G59" s="192"/>
      <c r="H59" s="192"/>
      <c r="I59" s="145"/>
    </row>
    <row r="62" spans="2:13" x14ac:dyDescent="0.25">
      <c r="B62" s="46"/>
      <c r="C62" s="46"/>
      <c r="D62" s="444" t="s">
        <v>290</v>
      </c>
      <c r="E62" s="444" t="s">
        <v>269</v>
      </c>
      <c r="F62" s="444" t="s">
        <v>272</v>
      </c>
      <c r="G62" s="444" t="s">
        <v>270</v>
      </c>
      <c r="H62" s="444" t="s">
        <v>271</v>
      </c>
      <c r="I62" s="444" t="s">
        <v>43</v>
      </c>
      <c r="J62" s="444" t="s">
        <v>44</v>
      </c>
      <c r="K62" s="444" t="s">
        <v>65</v>
      </c>
      <c r="L62" s="444" t="s">
        <v>45</v>
      </c>
      <c r="M62" s="444" t="s">
        <v>46</v>
      </c>
    </row>
    <row r="63" spans="2:13" x14ac:dyDescent="0.25">
      <c r="B63" s="46" t="s">
        <v>291</v>
      </c>
      <c r="C63" s="46"/>
      <c r="D63" s="200">
        <v>36944</v>
      </c>
      <c r="E63" s="200">
        <f>D63/5</f>
        <v>7388.8</v>
      </c>
      <c r="F63" s="200">
        <f>E63/13</f>
        <v>568.36923076923074</v>
      </c>
      <c r="G63" s="394">
        <v>142.08000000000001</v>
      </c>
      <c r="H63" s="394">
        <v>138.32</v>
      </c>
      <c r="I63" s="394">
        <v>140.33000000000001</v>
      </c>
      <c r="J63" s="394">
        <v>139.91</v>
      </c>
      <c r="K63" s="394">
        <v>139.56</v>
      </c>
      <c r="L63" s="394">
        <v>139.03</v>
      </c>
      <c r="M63" s="394">
        <v>135.78</v>
      </c>
    </row>
    <row r="64" spans="2:13" x14ac:dyDescent="0.25">
      <c r="B64" s="46" t="s">
        <v>244</v>
      </c>
      <c r="C64" s="46"/>
      <c r="D64" s="200"/>
      <c r="E64" s="200">
        <v>8821</v>
      </c>
      <c r="F64" s="200">
        <f>E64/13</f>
        <v>678.53846153846155</v>
      </c>
      <c r="G64" s="394">
        <v>140.87</v>
      </c>
      <c r="H64" s="394">
        <v>138.32</v>
      </c>
      <c r="I64" s="46"/>
      <c r="J64" s="46"/>
      <c r="K64" s="46"/>
      <c r="L64" s="46"/>
      <c r="M64" s="46"/>
    </row>
  </sheetData>
  <mergeCells count="7">
    <mergeCell ref="P3:S3"/>
    <mergeCell ref="T3:W3"/>
    <mergeCell ref="M29:O29"/>
    <mergeCell ref="B3:B4"/>
    <mergeCell ref="D3:G3"/>
    <mergeCell ref="H3:K3"/>
    <mergeCell ref="L3:O3"/>
  </mergeCells>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B8D8EE-0AD4-405E-B641-F5ADCFC52A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Overall Summary</vt:lpstr>
      <vt:lpstr>SG Portfolio</vt:lpstr>
      <vt:lpstr>FUTU Portfolio</vt:lpstr>
      <vt:lpstr>Day Trade</vt:lpstr>
      <vt:lpstr>Fee and Margin</vt:lpstr>
      <vt:lpstr>IndoStock</vt:lpstr>
      <vt:lpstr>US Index Contents</vt:lpstr>
      <vt:lpstr>Lost Return Ratio</vt:lpstr>
      <vt:lpstr>SG Watchlist</vt:lpstr>
      <vt:lpstr>ID Watchlist</vt:lpstr>
      <vt:lpstr>StockSelection</vt:lpstr>
      <vt:lpstr>AAPL Analysis</vt:lpstr>
      <vt:lpstr>JD Bet</vt:lpstr>
      <vt:lpstr>JD Analysis</vt:lpstr>
      <vt:lpstr>FB Bet</vt:lpstr>
      <vt:lpstr>FB Analysis</vt:lpstr>
      <vt:lpstr>BABA Bet</vt:lpstr>
      <vt:lpstr>BABA Analysis</vt:lpstr>
      <vt:lpstr>WMT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Luo</dc:creator>
  <cp:lastModifiedBy>PS</cp:lastModifiedBy>
  <dcterms:created xsi:type="dcterms:W3CDTF">2020-03-12T22:37:14Z</dcterms:created>
  <dcterms:modified xsi:type="dcterms:W3CDTF">2022-03-29T10:28:29Z</dcterms:modified>
</cp:coreProperties>
</file>